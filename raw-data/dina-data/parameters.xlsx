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.mouillet\Desktop\"/>
    </mc:Choice>
  </mc:AlternateContent>
  <xr:revisionPtr revIDLastSave="0" documentId="13_ncr:1_{5B0250A6-8D9A-4A08-8F0E-1E6C8CBEAC00}" xr6:coauthVersionLast="47" xr6:coauthVersionMax="47" xr10:uidLastSave="{00000000-0000-0000-0000-000000000000}"/>
  <bookViews>
    <workbookView xWindow="28680" yWindow="-1410" windowWidth="29040" windowHeight="15720" xr2:uid="{542DA091-264B-4445-867A-9A68299EDDBB}"/>
  </bookViews>
  <sheets>
    <sheet name="ParametersStat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F109" i="1" l="1"/>
  <c r="DE109" i="1"/>
  <c r="BB107" i="1"/>
  <c r="BB102" i="1"/>
  <c r="BB66" i="1"/>
  <c r="EE114" i="1"/>
  <c r="EE110" i="1"/>
  <c r="EF96" i="1"/>
  <c r="EE94" i="1"/>
  <c r="EF92" i="1"/>
  <c r="ED76" i="1"/>
  <c r="ED74" i="1"/>
  <c r="EJ73" i="1"/>
  <c r="EC58" i="1"/>
  <c r="EK56" i="1"/>
  <c r="EE55" i="1"/>
  <c r="EE44" i="1"/>
  <c r="EE42" i="1"/>
  <c r="EF38" i="1"/>
  <c r="EK37" i="1"/>
  <c r="EF26" i="1"/>
  <c r="EE24" i="1"/>
  <c r="EF22" i="1"/>
  <c r="EE20" i="1"/>
  <c r="EE19" i="1"/>
  <c r="EF8" i="1"/>
  <c r="EH63" i="1"/>
  <c r="EH28" i="1"/>
  <c r="EY90" i="1"/>
  <c r="EY89" i="1"/>
  <c r="EY84" i="1"/>
  <c r="EY79" i="1"/>
  <c r="EY76" i="1"/>
  <c r="EY71" i="1"/>
  <c r="EY59" i="1"/>
  <c r="EY58" i="1"/>
  <c r="EY54" i="1"/>
  <c r="EY53" i="1"/>
  <c r="EK117" i="1"/>
  <c r="EC114" i="1"/>
  <c r="EL112" i="1"/>
  <c r="BB106" i="1"/>
  <c r="EC103" i="1"/>
  <c r="EK101" i="1"/>
  <c r="EC100" i="1"/>
  <c r="BE95" i="1"/>
  <c r="EL94" i="1"/>
  <c r="BE91" i="1"/>
  <c r="EC90" i="1"/>
  <c r="EL89" i="1"/>
  <c r="EK89" i="1"/>
  <c r="EL86" i="1"/>
  <c r="EK86" i="1"/>
  <c r="EK84" i="1"/>
  <c r="EK83" i="1"/>
  <c r="EC82" i="1"/>
  <c r="EL80" i="1"/>
  <c r="BB73" i="1"/>
  <c r="EL73" i="1"/>
  <c r="BB71" i="1"/>
  <c r="EL71" i="1"/>
  <c r="EK71" i="1"/>
  <c r="EK70" i="1"/>
  <c r="EK68" i="1"/>
  <c r="BB65" i="1"/>
  <c r="BE64" i="1"/>
  <c r="BB62" i="1"/>
  <c r="EL62" i="1"/>
  <c r="EK61" i="1"/>
  <c r="BE59" i="1"/>
  <c r="EL58" i="1"/>
  <c r="BE57" i="1"/>
  <c r="EL57" i="1"/>
  <c r="EK57" i="1"/>
  <c r="EL55" i="1"/>
  <c r="EC54" i="1"/>
  <c r="EK53" i="1"/>
  <c r="BB52" i="1"/>
  <c r="EK50" i="1"/>
  <c r="EC45" i="1"/>
  <c r="EL45" i="1"/>
  <c r="BE44" i="1"/>
  <c r="EC42" i="1"/>
  <c r="BE41" i="1"/>
  <c r="ED41" i="1"/>
  <c r="EL35" i="1"/>
  <c r="EK35" i="1"/>
  <c r="BE32" i="1"/>
  <c r="EL32" i="1"/>
  <c r="EK32" i="1"/>
  <c r="EC29" i="1"/>
  <c r="BE28" i="1"/>
  <c r="EL26" i="1"/>
  <c r="ED23" i="1"/>
  <c r="EL19" i="1"/>
  <c r="BE16" i="1"/>
  <c r="EL16" i="1"/>
  <c r="EK16" i="1"/>
  <c r="EK14" i="1"/>
  <c r="BE10" i="1"/>
  <c r="EL8" i="1"/>
  <c r="EK7" i="1"/>
  <c r="BE5" i="1"/>
  <c r="EI115" i="1"/>
  <c r="EI112" i="1"/>
  <c r="EI110" i="1"/>
  <c r="AR109" i="1"/>
  <c r="AR107" i="1"/>
  <c r="AR106" i="1"/>
  <c r="EI105" i="1"/>
  <c r="AR91" i="1"/>
  <c r="EI89" i="1"/>
  <c r="AR88" i="1"/>
  <c r="EI87" i="1"/>
  <c r="AR77" i="1"/>
  <c r="EI76" i="1"/>
  <c r="AR73" i="1"/>
  <c r="AR71" i="1"/>
  <c r="EI70" i="1"/>
  <c r="EI55" i="1"/>
  <c r="EI35" i="1"/>
  <c r="EI33" i="1"/>
  <c r="EI32" i="1"/>
  <c r="EI22" i="1"/>
  <c r="EI17" i="1"/>
  <c r="EI16" i="1"/>
  <c r="EF117" i="1"/>
  <c r="EE117" i="1"/>
  <c r="EF115" i="1"/>
  <c r="EE115" i="1"/>
  <c r="EF106" i="1"/>
  <c r="BE92" i="1"/>
  <c r="EF88" i="1"/>
  <c r="EE88" i="1"/>
  <c r="EE85" i="1"/>
  <c r="BE85" i="1"/>
  <c r="EE81" i="1"/>
  <c r="EF79" i="1"/>
  <c r="EE79" i="1"/>
  <c r="EF72" i="1"/>
  <c r="EE72" i="1"/>
  <c r="EF70" i="1"/>
  <c r="EE70" i="1"/>
  <c r="EE69" i="1"/>
  <c r="EF68" i="1"/>
  <c r="EE68" i="1"/>
  <c r="EF67" i="1"/>
  <c r="BE67" i="1"/>
  <c r="EF64" i="1"/>
  <c r="EE63" i="1"/>
  <c r="EF61" i="1"/>
  <c r="EE61" i="1"/>
  <c r="BE58" i="1"/>
  <c r="BE56" i="1"/>
  <c r="EF54" i="1"/>
  <c r="EE54" i="1"/>
  <c r="BE51" i="1"/>
  <c r="BE49" i="1"/>
  <c r="EE48" i="1"/>
  <c r="EE45" i="1"/>
  <c r="BE45" i="1"/>
  <c r="EE43" i="1"/>
  <c r="EF41" i="1"/>
  <c r="EE41" i="1"/>
  <c r="BE40" i="1"/>
  <c r="EF37" i="1"/>
  <c r="EF36" i="1"/>
  <c r="EE36" i="1"/>
  <c r="EE34" i="1"/>
  <c r="BE33" i="1"/>
  <c r="EF32" i="1"/>
  <c r="EF27" i="1"/>
  <c r="EE27" i="1"/>
  <c r="EF25" i="1"/>
  <c r="EE23" i="1"/>
  <c r="BE22" i="1"/>
  <c r="EF19" i="1"/>
  <c r="EE18" i="1"/>
  <c r="BE15" i="1"/>
  <c r="EF12" i="1"/>
  <c r="EE12" i="1"/>
  <c r="EF7" i="1"/>
  <c r="EE7" i="1"/>
  <c r="AU91" i="1"/>
  <c r="AU84" i="1"/>
  <c r="AU71" i="1"/>
  <c r="AU39" i="1"/>
  <c r="AU37" i="1"/>
  <c r="AU36" i="1"/>
  <c r="AU30" i="1"/>
  <c r="AU18" i="1"/>
  <c r="AU12" i="1"/>
  <c r="EJ117" i="1"/>
  <c r="EJ116" i="1"/>
  <c r="EJ115" i="1"/>
  <c r="AU114" i="1"/>
  <c r="EJ87" i="1"/>
  <c r="AU82" i="1"/>
  <c r="EJ79" i="1"/>
  <c r="AU78" i="1"/>
  <c r="AU77" i="1"/>
  <c r="AU70" i="1"/>
  <c r="EJ67" i="1"/>
  <c r="AU66" i="1"/>
  <c r="AU65" i="1"/>
  <c r="AU64" i="1"/>
  <c r="AU63" i="1"/>
  <c r="EJ62" i="1"/>
  <c r="EJ61" i="1"/>
  <c r="EJ58" i="1"/>
  <c r="EJ49" i="1"/>
  <c r="AU47" i="1"/>
  <c r="AU45" i="1"/>
  <c r="AU44" i="1"/>
  <c r="AU31" i="1"/>
  <c r="AU28" i="1"/>
  <c r="AU27" i="1"/>
  <c r="EJ26" i="1"/>
  <c r="AU25" i="1"/>
  <c r="AU23" i="1"/>
  <c r="AU15" i="1"/>
  <c r="EJ12" i="1"/>
  <c r="AU10" i="1"/>
  <c r="AU9" i="1"/>
  <c r="AU7" i="1"/>
  <c r="EJ5" i="1"/>
  <c r="AL115" i="1"/>
  <c r="EG115" i="1" s="1"/>
  <c r="EH114" i="1"/>
  <c r="AL110" i="1"/>
  <c r="AL109" i="1"/>
  <c r="AR108" i="1"/>
  <c r="AL106" i="1"/>
  <c r="EG106" i="1" s="1"/>
  <c r="AR105" i="1"/>
  <c r="AL104" i="1"/>
  <c r="AL101" i="1"/>
  <c r="EG101" i="1" s="1"/>
  <c r="AR100" i="1"/>
  <c r="AR99" i="1"/>
  <c r="AL97" i="1"/>
  <c r="EG97" i="1" s="1"/>
  <c r="AR90" i="1"/>
  <c r="AL88" i="1"/>
  <c r="EG88" i="1" s="1"/>
  <c r="EH87" i="1"/>
  <c r="AL87" i="1"/>
  <c r="EG87" i="1" s="1"/>
  <c r="AL86" i="1"/>
  <c r="EG86" i="1" s="1"/>
  <c r="EH83" i="1"/>
  <c r="AL83" i="1"/>
  <c r="EG83" i="1" s="1"/>
  <c r="AL82" i="1"/>
  <c r="EG82" i="1" s="1"/>
  <c r="AL77" i="1"/>
  <c r="EG77" i="1" s="1"/>
  <c r="AL76" i="1"/>
  <c r="AL74" i="1"/>
  <c r="EG74" i="1" s="1"/>
  <c r="AL70" i="1"/>
  <c r="EG70" i="1" s="1"/>
  <c r="AR69" i="1"/>
  <c r="AL61" i="1"/>
  <c r="EG61" i="1" s="1"/>
  <c r="AL59" i="1"/>
  <c r="EG59" i="1" s="1"/>
  <c r="AL56" i="1"/>
  <c r="EG56" i="1" s="1"/>
  <c r="AL52" i="1"/>
  <c r="AL50" i="1"/>
  <c r="EG50" i="1" s="1"/>
  <c r="AL47" i="1"/>
  <c r="AL46" i="1"/>
  <c r="EH44" i="1"/>
  <c r="AL41" i="1"/>
  <c r="EG41" i="1" s="1"/>
  <c r="AL35" i="1"/>
  <c r="EG35" i="1" s="1"/>
  <c r="AL34" i="1"/>
  <c r="AL33" i="1"/>
  <c r="EG33" i="1" s="1"/>
  <c r="EH32" i="1"/>
  <c r="AL32" i="1"/>
  <c r="EG32" i="1" s="1"/>
  <c r="AL27" i="1"/>
  <c r="EG27" i="1" s="1"/>
  <c r="AL24" i="1"/>
  <c r="EG24" i="1" s="1"/>
  <c r="AL22" i="1"/>
  <c r="EG22" i="1" s="1"/>
  <c r="AL18" i="1"/>
  <c r="AL14" i="1"/>
  <c r="AL12" i="1"/>
  <c r="AL10" i="1"/>
  <c r="EG10" i="1" s="1"/>
  <c r="AL9" i="1"/>
  <c r="C104" i="1"/>
  <c r="EB104" i="1" s="1"/>
  <c r="C101" i="1"/>
  <c r="C89" i="1"/>
  <c r="DU89" i="1" s="1"/>
  <c r="C53" i="1"/>
  <c r="C36" i="1"/>
  <c r="DZ36" i="1" s="1"/>
  <c r="C30" i="1"/>
  <c r="BE117" i="1"/>
  <c r="EL117" i="1"/>
  <c r="AL117" i="1"/>
  <c r="EG117" i="1" s="1"/>
  <c r="BE116" i="1"/>
  <c r="AR116" i="1"/>
  <c r="AL116" i="1"/>
  <c r="EE116" i="1"/>
  <c r="EL115" i="1"/>
  <c r="EK115" i="1"/>
  <c r="AR115" i="1"/>
  <c r="EF114" i="1"/>
  <c r="BE113" i="1"/>
  <c r="BE111" i="1"/>
  <c r="AL111" i="1"/>
  <c r="EE111" i="1"/>
  <c r="FC110" i="1"/>
  <c r="FC111" i="1" s="1"/>
  <c r="FC112" i="1" s="1"/>
  <c r="FC113" i="1" s="1"/>
  <c r="FC114" i="1" s="1"/>
  <c r="FC115" i="1" s="1"/>
  <c r="FC116" i="1" s="1"/>
  <c r="FC117" i="1" s="1"/>
  <c r="FB110" i="1"/>
  <c r="FB111" i="1" s="1"/>
  <c r="FB112" i="1" s="1"/>
  <c r="FB113" i="1" s="1"/>
  <c r="FB114" i="1" s="1"/>
  <c r="FB115" i="1" s="1"/>
  <c r="FB116" i="1" s="1"/>
  <c r="FB117" i="1" s="1"/>
  <c r="FA110" i="1"/>
  <c r="FA111" i="1" s="1"/>
  <c r="FA112" i="1" s="1"/>
  <c r="FA113" i="1" s="1"/>
  <c r="FA114" i="1" s="1"/>
  <c r="FA115" i="1" s="1"/>
  <c r="FA116" i="1" s="1"/>
  <c r="FA117" i="1" s="1"/>
  <c r="AU110" i="1"/>
  <c r="AR110" i="1"/>
  <c r="DG109" i="1"/>
  <c r="AL108" i="1"/>
  <c r="EL107" i="1"/>
  <c r="ED107" i="1"/>
  <c r="AL107" i="1"/>
  <c r="AU105" i="1"/>
  <c r="AL105" i="1"/>
  <c r="EG105" i="1" s="1"/>
  <c r="EF105" i="1"/>
  <c r="BB104" i="1"/>
  <c r="EL103" i="1"/>
  <c r="AR103" i="1"/>
  <c r="ED102" i="1"/>
  <c r="AR102" i="1"/>
  <c r="AL102" i="1"/>
  <c r="EG102" i="1" s="1"/>
  <c r="EF102" i="1"/>
  <c r="EI101" i="1"/>
  <c r="EL101" i="1"/>
  <c r="AR101" i="1"/>
  <c r="BB100" i="1"/>
  <c r="EE100" i="1"/>
  <c r="BB99" i="1"/>
  <c r="AL99" i="1"/>
  <c r="EK98" i="1"/>
  <c r="EH98" i="1"/>
  <c r="AL98" i="1"/>
  <c r="EG98" i="1" s="1"/>
  <c r="EF98" i="1"/>
  <c r="EJ97" i="1"/>
  <c r="BE97" i="1"/>
  <c r="BE96" i="1"/>
  <c r="EL96" i="1"/>
  <c r="EK96" i="1"/>
  <c r="EE96" i="1"/>
  <c r="EF95" i="1"/>
  <c r="EE95" i="1"/>
  <c r="EL95" i="1"/>
  <c r="EK95" i="1"/>
  <c r="EJ95" i="1"/>
  <c r="BB94" i="1"/>
  <c r="AL94" i="1"/>
  <c r="AR93" i="1"/>
  <c r="AL93" i="1"/>
  <c r="EG93" i="1" s="1"/>
  <c r="EF93" i="1"/>
  <c r="EY91" i="1"/>
  <c r="EJ90" i="1"/>
  <c r="EH90" i="1"/>
  <c r="EL90" i="1"/>
  <c r="EK90" i="1"/>
  <c r="EF90" i="1"/>
  <c r="AU89" i="1"/>
  <c r="AR89" i="1"/>
  <c r="AL89" i="1"/>
  <c r="EG89" i="1" s="1"/>
  <c r="EY88" i="1"/>
  <c r="EL88" i="1"/>
  <c r="EY87" i="1"/>
  <c r="EL87" i="1"/>
  <c r="EK87" i="1"/>
  <c r="EE87" i="1"/>
  <c r="BB87" i="1"/>
  <c r="EF87" i="1"/>
  <c r="EY86" i="1"/>
  <c r="EF86" i="1"/>
  <c r="EE86" i="1"/>
  <c r="ED86" i="1"/>
  <c r="BE86" i="1"/>
  <c r="EY85" i="1"/>
  <c r="EF85" i="1"/>
  <c r="EJ85" i="1"/>
  <c r="ED85" i="1"/>
  <c r="AR85" i="1"/>
  <c r="BE84" i="1"/>
  <c r="AR84" i="1"/>
  <c r="AL84" i="1"/>
  <c r="EG84" i="1" s="1"/>
  <c r="EE84" i="1"/>
  <c r="EY83" i="1"/>
  <c r="EY82" i="1"/>
  <c r="EK82" i="1"/>
  <c r="BB82" i="1"/>
  <c r="EY81" i="1"/>
  <c r="EL81" i="1"/>
  <c r="EF81" i="1"/>
  <c r="BB81" i="1"/>
  <c r="AL81" i="1"/>
  <c r="EG81" i="1" s="1"/>
  <c r="EY80" i="1"/>
  <c r="EK80" i="1"/>
  <c r="EJ80" i="1"/>
  <c r="AR80" i="1"/>
  <c r="AL80" i="1"/>
  <c r="EG80" i="1" s="1"/>
  <c r="EF80" i="1"/>
  <c r="EE80" i="1"/>
  <c r="EL79" i="1"/>
  <c r="BB79" i="1"/>
  <c r="EK79" i="1"/>
  <c r="AU79" i="1"/>
  <c r="AR79" i="1"/>
  <c r="EI79" i="1"/>
  <c r="EY78" i="1"/>
  <c r="AL78" i="1"/>
  <c r="EF78" i="1"/>
  <c r="EY77" i="1"/>
  <c r="BB76" i="1"/>
  <c r="EY75" i="1"/>
  <c r="EL75" i="1"/>
  <c r="AR75" i="1"/>
  <c r="AL75" i="1"/>
  <c r="EG75" i="1" s="1"/>
  <c r="EF75" i="1"/>
  <c r="EE75" i="1"/>
  <c r="EY74" i="1"/>
  <c r="BB74" i="1"/>
  <c r="EY73" i="1"/>
  <c r="AL73" i="1"/>
  <c r="EY72" i="1"/>
  <c r="EL72" i="1"/>
  <c r="EJ72" i="1"/>
  <c r="AL72" i="1"/>
  <c r="EG72" i="1" s="1"/>
  <c r="EJ71" i="1"/>
  <c r="EF71" i="1"/>
  <c r="EE71" i="1"/>
  <c r="AL71" i="1"/>
  <c r="EY70" i="1"/>
  <c r="EJ70" i="1"/>
  <c r="EL70" i="1"/>
  <c r="EY69" i="1"/>
  <c r="EL69" i="1"/>
  <c r="AL69" i="1"/>
  <c r="EG69" i="1" s="1"/>
  <c r="EF69" i="1"/>
  <c r="EY68" i="1"/>
  <c r="BB68" i="1"/>
  <c r="EL68" i="1"/>
  <c r="AU68" i="1"/>
  <c r="EJ68" i="1"/>
  <c r="EI68" i="1"/>
  <c r="EY67" i="1"/>
  <c r="EC67" i="1"/>
  <c r="EL67" i="1"/>
  <c r="AU67" i="1"/>
  <c r="AL67" i="1"/>
  <c r="EG67" i="1" s="1"/>
  <c r="EE67" i="1"/>
  <c r="EY66" i="1"/>
  <c r="ED66" i="1"/>
  <c r="EH66" i="1"/>
  <c r="EF66" i="1"/>
  <c r="EY65" i="1"/>
  <c r="EF65" i="1"/>
  <c r="EY64" i="1"/>
  <c r="EE64" i="1"/>
  <c r="BB64" i="1"/>
  <c r="EL64" i="1"/>
  <c r="EK64" i="1"/>
  <c r="EY63" i="1"/>
  <c r="BB63" i="1"/>
  <c r="AL63" i="1"/>
  <c r="EY62" i="1"/>
  <c r="EF62" i="1"/>
  <c r="EE62" i="1"/>
  <c r="EK62" i="1"/>
  <c r="AL62" i="1"/>
  <c r="EG62" i="1" s="1"/>
  <c r="EY61" i="1"/>
  <c r="BB61" i="1"/>
  <c r="EL61" i="1"/>
  <c r="EY60" i="1"/>
  <c r="BE60" i="1"/>
  <c r="AL60" i="1"/>
  <c r="EG60" i="1" s="1"/>
  <c r="GK59" i="1"/>
  <c r="GK58" i="1" s="1"/>
  <c r="GK57" i="1" s="1"/>
  <c r="GK56" i="1" s="1"/>
  <c r="GK55" i="1" s="1"/>
  <c r="GK54" i="1" s="1"/>
  <c r="GK53" i="1" s="1"/>
  <c r="GK52" i="1" s="1"/>
  <c r="EL59" i="1"/>
  <c r="EK59" i="1"/>
  <c r="EJ59" i="1"/>
  <c r="EF59" i="1"/>
  <c r="EE59" i="1"/>
  <c r="EE58" i="1"/>
  <c r="AL58" i="1"/>
  <c r="EY57" i="1"/>
  <c r="EF57" i="1"/>
  <c r="EE57" i="1"/>
  <c r="AU57" i="1"/>
  <c r="EY56" i="1"/>
  <c r="EY55" i="1"/>
  <c r="BB54" i="1"/>
  <c r="EL54" i="1"/>
  <c r="EK54" i="1"/>
  <c r="AL54" i="1"/>
  <c r="EG54" i="1" s="1"/>
  <c r="BE53" i="1"/>
  <c r="BB53" i="1"/>
  <c r="EC53" i="1"/>
  <c r="EL53" i="1"/>
  <c r="EI53" i="1"/>
  <c r="AL53" i="1"/>
  <c r="EG53" i="1" s="1"/>
  <c r="EF53" i="1"/>
  <c r="EE53" i="1"/>
  <c r="EY52" i="1"/>
  <c r="BE52" i="1"/>
  <c r="EL51" i="1"/>
  <c r="ED51" i="1"/>
  <c r="ED50" i="1"/>
  <c r="EL50" i="1"/>
  <c r="EI50" i="1"/>
  <c r="EH50" i="1"/>
  <c r="AU49" i="1"/>
  <c r="AL49" i="1"/>
  <c r="EG49" i="1" s="1"/>
  <c r="C49" i="1"/>
  <c r="DY49" i="1" s="1"/>
  <c r="EK48" i="1"/>
  <c r="EF48" i="1"/>
  <c r="BE48" i="1"/>
  <c r="ED48" i="1"/>
  <c r="EC48" i="1"/>
  <c r="EL48" i="1"/>
  <c r="EH48" i="1"/>
  <c r="EI46" i="1"/>
  <c r="EK45" i="1"/>
  <c r="EF45" i="1"/>
  <c r="EI45" i="1"/>
  <c r="ED44" i="1"/>
  <c r="EK44" i="1"/>
  <c r="BE43" i="1"/>
  <c r="AL43" i="1"/>
  <c r="EF42" i="1"/>
  <c r="EL41" i="1"/>
  <c r="EK41" i="1"/>
  <c r="EL40" i="1"/>
  <c r="BE38" i="1"/>
  <c r="AL38" i="1"/>
  <c r="EE38" i="1"/>
  <c r="BE37" i="1"/>
  <c r="EH36" i="1"/>
  <c r="EL36" i="1"/>
  <c r="EK36" i="1"/>
  <c r="BE35" i="1"/>
  <c r="EF35" i="1"/>
  <c r="EJ34" i="1"/>
  <c r="EK34" i="1"/>
  <c r="AU34" i="1"/>
  <c r="EJ33" i="1"/>
  <c r="EL33" i="1"/>
  <c r="EK33" i="1"/>
  <c r="AU33" i="1"/>
  <c r="EI31" i="1"/>
  <c r="ED31" i="1"/>
  <c r="AL31" i="1"/>
  <c r="EK30" i="1"/>
  <c r="AL30" i="1"/>
  <c r="EG30" i="1" s="1"/>
  <c r="EL29" i="1"/>
  <c r="EK29" i="1"/>
  <c r="EI29" i="1"/>
  <c r="EF29" i="1"/>
  <c r="EE29" i="1"/>
  <c r="ED28" i="1"/>
  <c r="EE28" i="1"/>
  <c r="BE27" i="1"/>
  <c r="EL27" i="1"/>
  <c r="EK27" i="1"/>
  <c r="EC26" i="1"/>
  <c r="EK26" i="1"/>
  <c r="AU26" i="1"/>
  <c r="EI26" i="1"/>
  <c r="EH26" i="1"/>
  <c r="AL26" i="1"/>
  <c r="EG26" i="1" s="1"/>
  <c r="EL25" i="1"/>
  <c r="EK25" i="1"/>
  <c r="BE25" i="1"/>
  <c r="EK24" i="1"/>
  <c r="EC23" i="1"/>
  <c r="EL23" i="1"/>
  <c r="EK23" i="1"/>
  <c r="EL21" i="1"/>
  <c r="EK21" i="1"/>
  <c r="EF21" i="1"/>
  <c r="EE21" i="1"/>
  <c r="AU20" i="1"/>
  <c r="AL20" i="1"/>
  <c r="AL19" i="1"/>
  <c r="EF18" i="1"/>
  <c r="EK18" i="1"/>
  <c r="AL17" i="1"/>
  <c r="EG17" i="1" s="1"/>
  <c r="EH16" i="1"/>
  <c r="AL16" i="1"/>
  <c r="EG16" i="1" s="1"/>
  <c r="EF16" i="1"/>
  <c r="ED15" i="1"/>
  <c r="EC14" i="1"/>
  <c r="EL14" i="1"/>
  <c r="EJ14" i="1"/>
  <c r="EF13" i="1"/>
  <c r="EE13" i="1"/>
  <c r="BE12" i="1"/>
  <c r="EC12" i="1"/>
  <c r="EH12" i="1"/>
  <c r="EF11" i="1"/>
  <c r="BE11" i="1"/>
  <c r="EL11" i="1"/>
  <c r="AL11" i="1"/>
  <c r="EG11" i="1" s="1"/>
  <c r="EE11" i="1"/>
  <c r="EE10" i="1"/>
  <c r="EL10" i="1"/>
  <c r="EK10" i="1"/>
  <c r="EI10" i="1"/>
  <c r="EH10" i="1"/>
  <c r="EF10" i="1"/>
  <c r="BE9" i="1"/>
  <c r="BE8" i="1"/>
  <c r="EK8" i="1"/>
  <c r="EJ8" i="1"/>
  <c r="EI8" i="1"/>
  <c r="AL8" i="1"/>
  <c r="EG8" i="1" s="1"/>
  <c r="EL7" i="1"/>
  <c r="AU6" i="1"/>
  <c r="AL6" i="1"/>
  <c r="BE6" i="1"/>
  <c r="EL5" i="1"/>
  <c r="EK5" i="1"/>
  <c r="AL5" i="1"/>
  <c r="EG5" i="1" s="1"/>
  <c r="EF5" i="1"/>
  <c r="EE5" i="1"/>
  <c r="EH56" i="1" l="1"/>
  <c r="EC37" i="1"/>
  <c r="EK76" i="1"/>
  <c r="EK94" i="1"/>
  <c r="EF94" i="1"/>
  <c r="C10" i="1"/>
  <c r="C28" i="1"/>
  <c r="EA28" i="1" s="1"/>
  <c r="C82" i="1"/>
  <c r="DY82" i="1" s="1"/>
  <c r="EF56" i="1"/>
  <c r="EF74" i="1"/>
  <c r="AR114" i="1"/>
  <c r="ED40" i="1"/>
  <c r="EL56" i="1"/>
  <c r="AU81" i="1"/>
  <c r="EJ81" i="1"/>
  <c r="EH9" i="1"/>
  <c r="EG38" i="1"/>
  <c r="EL20" i="1"/>
  <c r="EI74" i="1"/>
  <c r="EE37" i="1"/>
  <c r="EJ74" i="1"/>
  <c r="EK74" i="1"/>
  <c r="EG76" i="1"/>
  <c r="AR117" i="1"/>
  <c r="EL74" i="1"/>
  <c r="EI109" i="1"/>
  <c r="EH112" i="1"/>
  <c r="EF112" i="1"/>
  <c r="EE112" i="1"/>
  <c r="EK38" i="1"/>
  <c r="EE56" i="1"/>
  <c r="EE74" i="1"/>
  <c r="EK20" i="1"/>
  <c r="EL38" i="1"/>
  <c r="EE73" i="1"/>
  <c r="EJ28" i="1"/>
  <c r="EG58" i="1"/>
  <c r="EG73" i="1"/>
  <c r="EK112" i="1"/>
  <c r="EC10" i="1"/>
  <c r="EH45" i="1"/>
  <c r="C44" i="1"/>
  <c r="EB44" i="1" s="1"/>
  <c r="EJ94" i="1"/>
  <c r="C7" i="1"/>
  <c r="DX7" i="1" s="1"/>
  <c r="C55" i="1"/>
  <c r="DW55" i="1" s="1"/>
  <c r="EG78" i="1"/>
  <c r="DU55" i="1"/>
  <c r="EJ6" i="1"/>
  <c r="BE36" i="1"/>
  <c r="EF55" i="1"/>
  <c r="C91" i="1"/>
  <c r="DW91" i="1" s="1"/>
  <c r="C109" i="1"/>
  <c r="EB109" i="1" s="1"/>
  <c r="EH55" i="1"/>
  <c r="EH82" i="1"/>
  <c r="EC21" i="1"/>
  <c r="EK42" i="1"/>
  <c r="EC55" i="1"/>
  <c r="EF76" i="1"/>
  <c r="EE76" i="1"/>
  <c r="EF58" i="1"/>
  <c r="EK58" i="1"/>
  <c r="EJ76" i="1"/>
  <c r="AU76" i="1"/>
  <c r="EF73" i="1"/>
  <c r="EI104" i="1"/>
  <c r="AR104" i="1"/>
  <c r="EL76" i="1"/>
  <c r="EF24" i="1"/>
  <c r="EK55" i="1"/>
  <c r="C12" i="1"/>
  <c r="EA12" i="1" s="1"/>
  <c r="AL15" i="1"/>
  <c r="EG15" i="1" s="1"/>
  <c r="AL21" i="1"/>
  <c r="AL39" i="1"/>
  <c r="AL51" i="1"/>
  <c r="EG51" i="1" s="1"/>
  <c r="AR72" i="1"/>
  <c r="EL6" i="1"/>
  <c r="EL24" i="1"/>
  <c r="EL78" i="1"/>
  <c r="EC106" i="1"/>
  <c r="EG94" i="1"/>
  <c r="EG19" i="1"/>
  <c r="EB28" i="1"/>
  <c r="DY62" i="1"/>
  <c r="DV21" i="1"/>
  <c r="DW53" i="1"/>
  <c r="DU53" i="1"/>
  <c r="EE40" i="1"/>
  <c r="EG43" i="1"/>
  <c r="ED45" i="1"/>
  <c r="AU56" i="1"/>
  <c r="EC57" i="1"/>
  <c r="EH57" i="1"/>
  <c r="BB67" i="1"/>
  <c r="AU80" i="1"/>
  <c r="EC85" i="1"/>
  <c r="EH92" i="1"/>
  <c r="BE112" i="1"/>
  <c r="EC112" i="1"/>
  <c r="EE113" i="1"/>
  <c r="ED21" i="1"/>
  <c r="EH93" i="1"/>
  <c r="C105" i="1"/>
  <c r="DU105" i="1" s="1"/>
  <c r="C106" i="1"/>
  <c r="EA106" i="1" s="1"/>
  <c r="DX27" i="1"/>
  <c r="EF34" i="1"/>
  <c r="AL40" i="1"/>
  <c r="EG40" i="1" s="1"/>
  <c r="EH41" i="1"/>
  <c r="EE46" i="1"/>
  <c r="DZ53" i="1"/>
  <c r="C56" i="1"/>
  <c r="DV56" i="1" s="1"/>
  <c r="EH58" i="1"/>
  <c r="AU59" i="1"/>
  <c r="C60" i="1"/>
  <c r="DZ60" i="1" s="1"/>
  <c r="EJ60" i="1"/>
  <c r="AU60" i="1"/>
  <c r="EE66" i="1"/>
  <c r="C69" i="1"/>
  <c r="EB69" i="1" s="1"/>
  <c r="EH69" i="1"/>
  <c r="EJ77" i="1"/>
  <c r="EI78" i="1"/>
  <c r="AR78" i="1"/>
  <c r="EF83" i="1"/>
  <c r="EC86" i="1"/>
  <c r="AR87" i="1"/>
  <c r="EI93" i="1"/>
  <c r="DT104" i="1"/>
  <c r="EH105" i="1"/>
  <c r="EE22" i="1"/>
  <c r="EC102" i="1"/>
  <c r="EC17" i="1"/>
  <c r="BE17" i="1"/>
  <c r="EJ19" i="1"/>
  <c r="EF28" i="1"/>
  <c r="EH29" i="1"/>
  <c r="EH30" i="1"/>
  <c r="EH35" i="1"/>
  <c r="DY36" i="1"/>
  <c r="BE39" i="1"/>
  <c r="EH40" i="1"/>
  <c r="EI43" i="1"/>
  <c r="EG46" i="1"/>
  <c r="EF49" i="1"/>
  <c r="DY53" i="1"/>
  <c r="ED68" i="1"/>
  <c r="EK77" i="1"/>
  <c r="BB86" i="1"/>
  <c r="EH88" i="1"/>
  <c r="C92" i="1"/>
  <c r="EB92" i="1" s="1"/>
  <c r="EH113" i="1"/>
  <c r="ED10" i="1"/>
  <c r="ED14" i="1"/>
  <c r="AL25" i="1"/>
  <c r="EG25" i="1" s="1"/>
  <c r="DW28" i="1"/>
  <c r="AL28" i="1"/>
  <c r="EG28" i="1" s="1"/>
  <c r="EE31" i="1"/>
  <c r="EH34" i="1"/>
  <c r="EH37" i="1"/>
  <c r="EI40" i="1"/>
  <c r="C41" i="1"/>
  <c r="EC41" i="1"/>
  <c r="EJ43" i="1"/>
  <c r="EB53" i="1"/>
  <c r="EC56" i="1"/>
  <c r="DU62" i="1"/>
  <c r="ED63" i="1"/>
  <c r="EC64" i="1"/>
  <c r="EJ65" i="1"/>
  <c r="AR74" i="1"/>
  <c r="EL77" i="1"/>
  <c r="AR82" i="1"/>
  <c r="EF84" i="1"/>
  <c r="EI88" i="1"/>
  <c r="EK92" i="1"/>
  <c r="DW110" i="1"/>
  <c r="EF111" i="1"/>
  <c r="AU117" i="1"/>
  <c r="EJ69" i="1"/>
  <c r="DV89" i="1"/>
  <c r="EH91" i="1"/>
  <c r="EL92" i="1"/>
  <c r="EK93" i="1"/>
  <c r="EE109" i="1"/>
  <c r="AU116" i="1"/>
  <c r="EC36" i="1"/>
  <c r="EJ39" i="1"/>
  <c r="EK43" i="1"/>
  <c r="BE54" i="1"/>
  <c r="EF63" i="1"/>
  <c r="C75" i="1"/>
  <c r="EB75" i="1" s="1"/>
  <c r="DT89" i="1"/>
  <c r="EL93" i="1"/>
  <c r="ED103" i="1"/>
  <c r="EK105" i="1"/>
  <c r="C107" i="1"/>
  <c r="DW107" i="1" s="1"/>
  <c r="EH107" i="1"/>
  <c r="EF109" i="1"/>
  <c r="C110" i="1"/>
  <c r="EB110" i="1" s="1"/>
  <c r="EG111" i="1"/>
  <c r="ED26" i="1"/>
  <c r="C29" i="1"/>
  <c r="DZ29" i="1" s="1"/>
  <c r="EG31" i="1"/>
  <c r="EH5" i="1"/>
  <c r="EL13" i="1"/>
  <c r="EH15" i="1"/>
  <c r="ED16" i="1"/>
  <c r="EE17" i="1"/>
  <c r="EC18" i="1"/>
  <c r="EH21" i="1"/>
  <c r="EJ22" i="1"/>
  <c r="BE23" i="1"/>
  <c r="BE26" i="1"/>
  <c r="BE30" i="1"/>
  <c r="EC32" i="1"/>
  <c r="EE33" i="1"/>
  <c r="ED34" i="1"/>
  <c r="ED35" i="1"/>
  <c r="DW36" i="1"/>
  <c r="AL36" i="1"/>
  <c r="EG36" i="1" s="1"/>
  <c r="EH42" i="1"/>
  <c r="C43" i="1"/>
  <c r="DY43" i="1" s="1"/>
  <c r="EL43" i="1"/>
  <c r="EH43" i="1"/>
  <c r="EE51" i="1"/>
  <c r="EG63" i="1"/>
  <c r="EK65" i="1"/>
  <c r="AU74" i="1"/>
  <c r="AU88" i="1"/>
  <c r="EJ88" i="1"/>
  <c r="AR97" i="1"/>
  <c r="C99" i="1"/>
  <c r="DX99" i="1" s="1"/>
  <c r="EL105" i="1"/>
  <c r="EG109" i="1"/>
  <c r="EH110" i="1"/>
  <c r="EK116" i="1"/>
  <c r="AU41" i="1"/>
  <c r="AR55" i="1"/>
  <c r="EA7" i="1"/>
  <c r="EG9" i="1"/>
  <c r="EJ10" i="1"/>
  <c r="ED7" i="1"/>
  <c r="C14" i="1"/>
  <c r="DT14" i="1" s="1"/>
  <c r="EE15" i="1"/>
  <c r="EI13" i="1"/>
  <c r="EF31" i="1"/>
  <c r="EI37" i="1"/>
  <c r="EI5" i="1"/>
  <c r="EF17" i="1"/>
  <c r="ED18" i="1"/>
  <c r="EC19" i="1"/>
  <c r="EI21" i="1"/>
  <c r="EH31" i="1"/>
  <c r="ED32" i="1"/>
  <c r="C37" i="1"/>
  <c r="DU37" i="1" s="1"/>
  <c r="C40" i="1"/>
  <c r="DY40" i="1" s="1"/>
  <c r="AL48" i="1"/>
  <c r="EG48" i="1" s="1"/>
  <c r="BE50" i="1"/>
  <c r="EF51" i="1"/>
  <c r="AU62" i="1"/>
  <c r="ED64" i="1"/>
  <c r="EL65" i="1"/>
  <c r="EJ66" i="1"/>
  <c r="EH67" i="1"/>
  <c r="EI71" i="1"/>
  <c r="EI75" i="1"/>
  <c r="AU83" i="1"/>
  <c r="DV85" i="1"/>
  <c r="AL85" i="1"/>
  <c r="EG85" i="1" s="1"/>
  <c r="AU95" i="1"/>
  <c r="AU96" i="1"/>
  <c r="AU97" i="1"/>
  <c r="EH99" i="1"/>
  <c r="AL100" i="1"/>
  <c r="EG100" i="1" s="1"/>
  <c r="C108" i="1"/>
  <c r="EB108" i="1" s="1"/>
  <c r="EL116" i="1"/>
  <c r="EC117" i="1"/>
  <c r="EJ51" i="1"/>
  <c r="AU51" i="1"/>
  <c r="EI81" i="1"/>
  <c r="AR81" i="1"/>
  <c r="ED12" i="1"/>
  <c r="ED42" i="1"/>
  <c r="EH103" i="1"/>
  <c r="BE21" i="1"/>
  <c r="AL23" i="1"/>
  <c r="EG23" i="1" s="1"/>
  <c r="EC25" i="1"/>
  <c r="EF40" i="1"/>
  <c r="EC7" i="1"/>
  <c r="EI19" i="1"/>
  <c r="EI69" i="1"/>
  <c r="EA77" i="1"/>
  <c r="BE7" i="1"/>
  <c r="DW12" i="1"/>
  <c r="EG6" i="1"/>
  <c r="C9" i="1"/>
  <c r="DU9" i="1" s="1"/>
  <c r="C35" i="1"/>
  <c r="DZ35" i="1" s="1"/>
  <c r="EJ40" i="1"/>
  <c r="EE65" i="1"/>
  <c r="ED78" i="1"/>
  <c r="EJ78" i="1"/>
  <c r="EK88" i="1"/>
  <c r="EI99" i="1"/>
  <c r="DV101" i="1"/>
  <c r="BB117" i="1"/>
  <c r="ED117" i="1"/>
  <c r="EI54" i="1"/>
  <c r="AR54" i="1"/>
  <c r="EH77" i="1"/>
  <c r="C103" i="1"/>
  <c r="DX103" i="1" s="1"/>
  <c r="DU7" i="1"/>
  <c r="EH17" i="1"/>
  <c r="EF43" i="1"/>
  <c r="ED67" i="1"/>
  <c r="EK113" i="1"/>
  <c r="EJ113" i="1"/>
  <c r="ED24" i="1"/>
  <c r="ED19" i="1"/>
  <c r="DU28" i="1"/>
  <c r="EL37" i="1"/>
  <c r="EF14" i="1"/>
  <c r="EH22" i="1"/>
  <c r="EI24" i="1"/>
  <c r="DY60" i="1"/>
  <c r="EH65" i="1"/>
  <c r="DU85" i="1"/>
  <c r="C100" i="1"/>
  <c r="DY100" i="1" s="1"/>
  <c r="EH100" i="1"/>
  <c r="DT101" i="1"/>
  <c r="EJ111" i="1"/>
  <c r="EC116" i="1"/>
  <c r="EH11" i="1"/>
  <c r="ED25" i="1"/>
  <c r="ED49" i="1"/>
  <c r="C77" i="1"/>
  <c r="EB77" i="1" s="1"/>
  <c r="AR68" i="1"/>
  <c r="AL92" i="1"/>
  <c r="EG92" i="1" s="1"/>
  <c r="BB112" i="1"/>
  <c r="ED6" i="1"/>
  <c r="EJ20" i="1"/>
  <c r="ED36" i="1"/>
  <c r="DX85" i="1"/>
  <c r="C17" i="1"/>
  <c r="EA17" i="1" s="1"/>
  <c r="EH13" i="1"/>
  <c r="DU56" i="1"/>
  <c r="AU5" i="1"/>
  <c r="C8" i="1"/>
  <c r="DY8" i="1" s="1"/>
  <c r="EJ9" i="1"/>
  <c r="EH38" i="1"/>
  <c r="C62" i="1"/>
  <c r="EC44" i="1"/>
  <c r="EJ48" i="1"/>
  <c r="EL49" i="1"/>
  <c r="DT53" i="1"/>
  <c r="C72" i="1"/>
  <c r="EB72" i="1" s="1"/>
  <c r="EJ75" i="1"/>
  <c r="EE77" i="1"/>
  <c r="BB78" i="1"/>
  <c r="C80" i="1"/>
  <c r="EB80" i="1" s="1"/>
  <c r="EL83" i="1"/>
  <c r="DY92" i="1"/>
  <c r="ED106" i="1"/>
  <c r="C111" i="1"/>
  <c r="DZ111" i="1" s="1"/>
  <c r="EC113" i="1"/>
  <c r="ED114" i="1"/>
  <c r="BB114" i="1"/>
  <c r="ED116" i="1"/>
  <c r="AU17" i="1"/>
  <c r="EC6" i="1"/>
  <c r="EH33" i="1"/>
  <c r="BE42" i="1"/>
  <c r="EA53" i="1"/>
  <c r="AU58" i="1"/>
  <c r="EI77" i="1"/>
  <c r="ED11" i="1"/>
  <c r="DZ21" i="1"/>
  <c r="EH14" i="1"/>
  <c r="EE6" i="1"/>
  <c r="EF15" i="1"/>
  <c r="EH20" i="1"/>
  <c r="EK22" i="1"/>
  <c r="EL34" i="1"/>
  <c r="EF46" i="1"/>
  <c r="EH53" i="1"/>
  <c r="C57" i="1"/>
  <c r="DT57" i="1" s="1"/>
  <c r="EC13" i="1"/>
  <c r="EJ18" i="1"/>
  <c r="BE19" i="1"/>
  <c r="C21" i="1"/>
  <c r="DX21" i="1" s="1"/>
  <c r="ED43" i="1"/>
  <c r="EI48" i="1"/>
  <c r="EK49" i="1"/>
  <c r="EC9" i="1"/>
  <c r="EJ11" i="1"/>
  <c r="EG14" i="1"/>
  <c r="EG20" i="1"/>
  <c r="EI30" i="1"/>
  <c r="EK31" i="1"/>
  <c r="EJ42" i="1"/>
  <c r="ED9" i="1"/>
  <c r="AU11" i="1"/>
  <c r="EK15" i="1"/>
  <c r="C22" i="1"/>
  <c r="DY22" i="1" s="1"/>
  <c r="EE26" i="1"/>
  <c r="EI27" i="1"/>
  <c r="BE29" i="1"/>
  <c r="EH39" i="1"/>
  <c r="EL42" i="1"/>
  <c r="EF44" i="1"/>
  <c r="EF50" i="1"/>
  <c r="EJ50" i="1"/>
  <c r="EH51" i="1"/>
  <c r="AR52" i="1"/>
  <c r="AR53" i="1"/>
  <c r="EE60" i="1"/>
  <c r="EJ63" i="1"/>
  <c r="EH72" i="1"/>
  <c r="EF77" i="1"/>
  <c r="EH80" i="1"/>
  <c r="EH97" i="1"/>
  <c r="EL98" i="1"/>
  <c r="EK111" i="1"/>
  <c r="ED113" i="1"/>
  <c r="EF9" i="1"/>
  <c r="EG18" i="1"/>
  <c r="EG34" i="1"/>
  <c r="EF6" i="1"/>
  <c r="EH6" i="1"/>
  <c r="EG21" i="1"/>
  <c r="EI34" i="1"/>
  <c r="C13" i="1"/>
  <c r="DW13" i="1" s="1"/>
  <c r="EK13" i="1"/>
  <c r="C19" i="1"/>
  <c r="DU19" i="1" s="1"/>
  <c r="C5" i="1"/>
  <c r="EC5" i="1"/>
  <c r="ED5" i="1"/>
  <c r="EJ7" i="1"/>
  <c r="EI14" i="1"/>
  <c r="EL18" i="1"/>
  <c r="EH24" i="1"/>
  <c r="EK46" i="1"/>
  <c r="EI11" i="1"/>
  <c r="EF20" i="1"/>
  <c r="DU21" i="1"/>
  <c r="EL46" i="1"/>
  <c r="EH49" i="1"/>
  <c r="EK12" i="1"/>
  <c r="BE13" i="1"/>
  <c r="EH25" i="1"/>
  <c r="EK28" i="1"/>
  <c r="EC34" i="1"/>
  <c r="EH7" i="1"/>
  <c r="EK6" i="1"/>
  <c r="EI7" i="1"/>
  <c r="EE8" i="1"/>
  <c r="EK11" i="1"/>
  <c r="EL15" i="1"/>
  <c r="EE16" i="1"/>
  <c r="BE18" i="1"/>
  <c r="C24" i="1"/>
  <c r="DZ24" i="1" s="1"/>
  <c r="EJ27" i="1"/>
  <c r="EC28" i="1"/>
  <c r="EI38" i="1"/>
  <c r="DW44" i="1"/>
  <c r="AL44" i="1"/>
  <c r="EG44" i="1" s="1"/>
  <c r="ED46" i="1"/>
  <c r="C48" i="1"/>
  <c r="DT48" i="1" s="1"/>
  <c r="EE50" i="1"/>
  <c r="EI51" i="1"/>
  <c r="AL55" i="1"/>
  <c r="EG55" i="1" s="1"/>
  <c r="EF60" i="1"/>
  <c r="ED70" i="1"/>
  <c r="EI72" i="1"/>
  <c r="EE78" i="1"/>
  <c r="EI80" i="1"/>
  <c r="AU90" i="1"/>
  <c r="EJ91" i="1"/>
  <c r="EE92" i="1"/>
  <c r="EE93" i="1"/>
  <c r="AL103" i="1"/>
  <c r="EG103" i="1" s="1"/>
  <c r="EC107" i="1"/>
  <c r="BE114" i="1"/>
  <c r="EE105" i="1"/>
  <c r="EE89" i="1"/>
  <c r="EK91" i="1"/>
  <c r="BE94" i="1"/>
  <c r="EK97" i="1"/>
  <c r="AU98" i="1"/>
  <c r="EE101" i="1"/>
  <c r="EH104" i="1"/>
  <c r="EH109" i="1"/>
  <c r="AR111" i="1"/>
  <c r="AL112" i="1"/>
  <c r="EG112" i="1" s="1"/>
  <c r="EF113" i="1"/>
  <c r="BE115" i="1"/>
  <c r="EF89" i="1"/>
  <c r="BE90" i="1"/>
  <c r="EL91" i="1"/>
  <c r="EJ92" i="1"/>
  <c r="ED95" i="1"/>
  <c r="EL97" i="1"/>
  <c r="EF101" i="1"/>
  <c r="AL113" i="1"/>
  <c r="EG113" i="1" s="1"/>
  <c r="AL114" i="1"/>
  <c r="EG114" i="1" s="1"/>
  <c r="C50" i="1"/>
  <c r="EB50" i="1" s="1"/>
  <c r="AU50" i="1"/>
  <c r="AU52" i="1"/>
  <c r="DY55" i="1"/>
  <c r="BB55" i="1"/>
  <c r="AL57" i="1"/>
  <c r="EG57" i="1" s="1"/>
  <c r="EH61" i="1"/>
  <c r="ED62" i="1"/>
  <c r="EK63" i="1"/>
  <c r="EK66" i="1"/>
  <c r="AU69" i="1"/>
  <c r="C70" i="1"/>
  <c r="EB70" i="1" s="1"/>
  <c r="AU72" i="1"/>
  <c r="EI73" i="1"/>
  <c r="AU75" i="1"/>
  <c r="EH89" i="1"/>
  <c r="EJ93" i="1"/>
  <c r="EC98" i="1"/>
  <c r="EH101" i="1"/>
  <c r="BB103" i="1"/>
  <c r="EH106" i="1"/>
  <c r="EK106" i="1"/>
  <c r="EL111" i="1"/>
  <c r="C114" i="1"/>
  <c r="DY114" i="1" s="1"/>
  <c r="EF116" i="1"/>
  <c r="EK40" i="1"/>
  <c r="AL42" i="1"/>
  <c r="EG42" i="1" s="1"/>
  <c r="EL44" i="1"/>
  <c r="EE49" i="1"/>
  <c r="C51" i="1"/>
  <c r="DU51" i="1" s="1"/>
  <c r="EK51" i="1"/>
  <c r="C54" i="1"/>
  <c r="DW54" i="1" s="1"/>
  <c r="EB55" i="1"/>
  <c r="BE55" i="1"/>
  <c r="EC59" i="1"/>
  <c r="EH59" i="1"/>
  <c r="EL63" i="1"/>
  <c r="EH64" i="1"/>
  <c r="EL66" i="1"/>
  <c r="EK69" i="1"/>
  <c r="EK72" i="1"/>
  <c r="EK75" i="1"/>
  <c r="BB77" i="1"/>
  <c r="AL79" i="1"/>
  <c r="EG79" i="1" s="1"/>
  <c r="ED83" i="1"/>
  <c r="AU85" i="1"/>
  <c r="AL90" i="1"/>
  <c r="EG90" i="1" s="1"/>
  <c r="EC92" i="1"/>
  <c r="AR94" i="1"/>
  <c r="C102" i="1"/>
  <c r="EA102" i="1" s="1"/>
  <c r="AU113" i="1"/>
  <c r="EJ114" i="1"/>
  <c r="C115" i="1"/>
  <c r="EB115" i="1" s="1"/>
  <c r="EH115" i="1"/>
  <c r="EH54" i="1"/>
  <c r="EK60" i="1"/>
  <c r="EL84" i="1"/>
  <c r="C85" i="1"/>
  <c r="DT85" i="1" s="1"/>
  <c r="AR86" i="1"/>
  <c r="C96" i="1"/>
  <c r="DX96" i="1" s="1"/>
  <c r="EH102" i="1"/>
  <c r="EK102" i="1"/>
  <c r="BE109" i="1"/>
  <c r="EC110" i="1"/>
  <c r="EC111" i="1"/>
  <c r="EH111" i="1"/>
  <c r="EG116" i="1"/>
  <c r="DT117" i="1"/>
  <c r="EL60" i="1"/>
  <c r="EC63" i="1"/>
  <c r="EG71" i="1"/>
  <c r="EH79" i="1"/>
  <c r="ED80" i="1"/>
  <c r="BE83" i="1"/>
  <c r="EK85" i="1"/>
  <c r="ED88" i="1"/>
  <c r="EE91" i="1"/>
  <c r="BE98" i="1"/>
  <c r="ED99" i="1"/>
  <c r="EJ101" i="1"/>
  <c r="EC104" i="1"/>
  <c r="EC109" i="1"/>
  <c r="ED111" i="1"/>
  <c r="EH116" i="1"/>
  <c r="C117" i="1"/>
  <c r="DV117" i="1" s="1"/>
  <c r="EH117" i="1"/>
  <c r="BE14" i="1"/>
  <c r="EH18" i="1"/>
  <c r="BE20" i="1"/>
  <c r="BE24" i="1"/>
  <c r="C26" i="1"/>
  <c r="DX26" i="1" s="1"/>
  <c r="EH27" i="1"/>
  <c r="EL31" i="1"/>
  <c r="EC40" i="1"/>
  <c r="EI42" i="1"/>
  <c r="EC51" i="1"/>
  <c r="EJ64" i="1"/>
  <c r="AL68" i="1"/>
  <c r="EG68" i="1" s="1"/>
  <c r="EC69" i="1"/>
  <c r="AR70" i="1"/>
  <c r="AU73" i="1"/>
  <c r="AR76" i="1"/>
  <c r="EK78" i="1"/>
  <c r="EK81" i="1"/>
  <c r="EC84" i="1"/>
  <c r="EL85" i="1"/>
  <c r="EJ86" i="1"/>
  <c r="BB88" i="1"/>
  <c r="EF91" i="1"/>
  <c r="C97" i="1"/>
  <c r="DT97" i="1" s="1"/>
  <c r="EE97" i="1"/>
  <c r="DF110" i="1"/>
  <c r="EL113" i="1"/>
  <c r="EK114" i="1"/>
  <c r="EI117" i="1"/>
  <c r="EK9" i="1"/>
  <c r="AL7" i="1"/>
  <c r="EG7" i="1" s="1"/>
  <c r="EL9" i="1"/>
  <c r="EC16" i="1"/>
  <c r="EI18" i="1"/>
  <c r="EK19" i="1"/>
  <c r="EH19" i="1"/>
  <c r="ED20" i="1"/>
  <c r="EI25" i="1"/>
  <c r="DU26" i="1"/>
  <c r="C27" i="1"/>
  <c r="DV27" i="1" s="1"/>
  <c r="DZ28" i="1"/>
  <c r="EE32" i="1"/>
  <c r="C33" i="1"/>
  <c r="DW33" i="1" s="1"/>
  <c r="BE34" i="1"/>
  <c r="EE35" i="1"/>
  <c r="DU36" i="1"/>
  <c r="ED37" i="1"/>
  <c r="EJ41" i="1"/>
  <c r="AU42" i="1"/>
  <c r="EC43" i="1"/>
  <c r="AL45" i="1"/>
  <c r="EG45" i="1" s="1"/>
  <c r="BE47" i="1"/>
  <c r="EC50" i="1"/>
  <c r="EJ57" i="1"/>
  <c r="EC60" i="1"/>
  <c r="AU61" i="1"/>
  <c r="DT62" i="1"/>
  <c r="EH62" i="1"/>
  <c r="AL65" i="1"/>
  <c r="EG65" i="1" s="1"/>
  <c r="EK67" i="1"/>
  <c r="EH68" i="1"/>
  <c r="BB69" i="1"/>
  <c r="EH71" i="1"/>
  <c r="ED72" i="1"/>
  <c r="EK73" i="1"/>
  <c r="EH74" i="1"/>
  <c r="ED75" i="1"/>
  <c r="EI82" i="1"/>
  <c r="EE83" i="1"/>
  <c r="ED84" i="1"/>
  <c r="EH85" i="1"/>
  <c r="C87" i="1"/>
  <c r="EB87" i="1" s="1"/>
  <c r="AL91" i="1"/>
  <c r="EG91" i="1" s="1"/>
  <c r="AU94" i="1"/>
  <c r="EJ96" i="1"/>
  <c r="EF97" i="1"/>
  <c r="EE98" i="1"/>
  <c r="DY110" i="1"/>
  <c r="BE110" i="1"/>
  <c r="EL114" i="1"/>
  <c r="AU115" i="1"/>
  <c r="DT5" i="1"/>
  <c r="DX5" i="1"/>
  <c r="EA5" i="1"/>
  <c r="DY5" i="1"/>
  <c r="DW5" i="1"/>
  <c r="EA30" i="1"/>
  <c r="DY30" i="1"/>
  <c r="DX30" i="1"/>
  <c r="DZ30" i="1"/>
  <c r="DV5" i="1"/>
  <c r="DX22" i="1"/>
  <c r="DW35" i="1"/>
  <c r="DZ5" i="1"/>
  <c r="DU5" i="1"/>
  <c r="EB5" i="1"/>
  <c r="DT7" i="1"/>
  <c r="DV7" i="1"/>
  <c r="DZ27" i="1"/>
  <c r="DY27" i="1"/>
  <c r="DW27" i="1"/>
  <c r="DY33" i="1"/>
  <c r="DZ10" i="1"/>
  <c r="ED13" i="1"/>
  <c r="AU8" i="1"/>
  <c r="DW10" i="1"/>
  <c r="EI12" i="1"/>
  <c r="EJ17" i="1"/>
  <c r="C6" i="1"/>
  <c r="DY6" i="1" s="1"/>
  <c r="EI9" i="1"/>
  <c r="DT10" i="1"/>
  <c r="EJ15" i="1"/>
  <c r="ED17" i="1"/>
  <c r="C20" i="1"/>
  <c r="DX20" i="1" s="1"/>
  <c r="EI20" i="1"/>
  <c r="EB22" i="1"/>
  <c r="ED22" i="1"/>
  <c r="EA22" i="1"/>
  <c r="EH23" i="1"/>
  <c r="EC24" i="1"/>
  <c r="DY24" i="1"/>
  <c r="EJ25" i="1"/>
  <c r="EA27" i="1"/>
  <c r="DY28" i="1"/>
  <c r="AL29" i="1"/>
  <c r="EG29" i="1" s="1"/>
  <c r="DV30" i="1"/>
  <c r="EJ31" i="1"/>
  <c r="EC35" i="1"/>
  <c r="DT36" i="1"/>
  <c r="ED38" i="1"/>
  <c r="ED39" i="1"/>
  <c r="DU41" i="1"/>
  <c r="C42" i="1"/>
  <c r="DY42" i="1" s="1"/>
  <c r="DY44" i="1"/>
  <c r="C45" i="1"/>
  <c r="DT45" i="1" s="1"/>
  <c r="DW46" i="1"/>
  <c r="DU49" i="1"/>
  <c r="DY50" i="1"/>
  <c r="C52" i="1"/>
  <c r="DT52" i="1" s="1"/>
  <c r="DZ52" i="1"/>
  <c r="EG52" i="1"/>
  <c r="EH60" i="1"/>
  <c r="EE47" i="1"/>
  <c r="EC47" i="1"/>
  <c r="EJ47" i="1"/>
  <c r="EB56" i="1"/>
  <c r="EA56" i="1"/>
  <c r="DZ57" i="1"/>
  <c r="DY57" i="1"/>
  <c r="DX57" i="1"/>
  <c r="DW57" i="1"/>
  <c r="ED65" i="1"/>
  <c r="BE65" i="1"/>
  <c r="DU30" i="1"/>
  <c r="EL30" i="1"/>
  <c r="C31" i="1"/>
  <c r="DW31" i="1" s="1"/>
  <c r="EF33" i="1"/>
  <c r="EB35" i="1"/>
  <c r="AL37" i="1"/>
  <c r="EG37" i="1" s="1"/>
  <c r="C38" i="1"/>
  <c r="DZ38" i="1" s="1"/>
  <c r="EJ38" i="1"/>
  <c r="AU38" i="1"/>
  <c r="DX47" i="1"/>
  <c r="EF47" i="1"/>
  <c r="EL52" i="1"/>
  <c r="EK52" i="1"/>
  <c r="EH52" i="1"/>
  <c r="AU54" i="1"/>
  <c r="EJ54" i="1"/>
  <c r="DX56" i="1"/>
  <c r="EI56" i="1"/>
  <c r="AR56" i="1"/>
  <c r="AU13" i="1"/>
  <c r="EJ13" i="1"/>
  <c r="AU22" i="1"/>
  <c r="EI23" i="1"/>
  <c r="EJ24" i="1"/>
  <c r="AU24" i="1"/>
  <c r="DY26" i="1"/>
  <c r="EB26" i="1"/>
  <c r="DT27" i="1"/>
  <c r="EB29" i="1"/>
  <c r="ED29" i="1"/>
  <c r="EJ35" i="1"/>
  <c r="AU35" i="1"/>
  <c r="EA40" i="1"/>
  <c r="C47" i="1"/>
  <c r="DZ47" i="1" s="1"/>
  <c r="EG47" i="1"/>
  <c r="EK47" i="1"/>
  <c r="EI47" i="1"/>
  <c r="EC52" i="1"/>
  <c r="DZ56" i="1"/>
  <c r="DX34" i="1"/>
  <c r="EA35" i="1"/>
  <c r="DY37" i="1"/>
  <c r="EE39" i="1"/>
  <c r="DW40" i="1"/>
  <c r="EL47" i="1"/>
  <c r="ED52" i="1"/>
  <c r="EI52" i="1"/>
  <c r="AR63" i="1"/>
  <c r="EI63" i="1"/>
  <c r="C15" i="1"/>
  <c r="DT15" i="1" s="1"/>
  <c r="EI6" i="1"/>
  <c r="C11" i="1"/>
  <c r="DV11" i="1" s="1"/>
  <c r="EB10" i="1"/>
  <c r="EK17" i="1"/>
  <c r="EG12" i="1"/>
  <c r="EC15" i="1"/>
  <c r="EL17" i="1"/>
  <c r="C18" i="1"/>
  <c r="DZ18" i="1" s="1"/>
  <c r="EL22" i="1"/>
  <c r="C23" i="1"/>
  <c r="DX23" i="1" s="1"/>
  <c r="DX28" i="1"/>
  <c r="DV28" i="1"/>
  <c r="EI28" i="1"/>
  <c r="EB30" i="1"/>
  <c r="ED30" i="1"/>
  <c r="EC31" i="1"/>
  <c r="DZ34" i="1"/>
  <c r="EB37" i="1"/>
  <c r="EF39" i="1"/>
  <c r="EK39" i="1"/>
  <c r="EI39" i="1"/>
  <c r="EB41" i="1"/>
  <c r="EA41" i="1"/>
  <c r="DW41" i="1"/>
  <c r="DV44" i="1"/>
  <c r="DZ44" i="1"/>
  <c r="DY47" i="1"/>
  <c r="EB49" i="1"/>
  <c r="EA49" i="1"/>
  <c r="DW49" i="1"/>
  <c r="EI67" i="1"/>
  <c r="AR67" i="1"/>
  <c r="ED8" i="1"/>
  <c r="EF23" i="1"/>
  <c r="EJ23" i="1"/>
  <c r="EE9" i="1"/>
  <c r="EC11" i="1"/>
  <c r="EL12" i="1"/>
  <c r="EE14" i="1"/>
  <c r="C16" i="1"/>
  <c r="EB16" i="1" s="1"/>
  <c r="AU19" i="1"/>
  <c r="EC20" i="1"/>
  <c r="EB21" i="1"/>
  <c r="EE25" i="1"/>
  <c r="EA26" i="1"/>
  <c r="EB27" i="1"/>
  <c r="EC27" i="1"/>
  <c r="EJ30" i="1"/>
  <c r="EC30" i="1"/>
  <c r="EF30" i="1"/>
  <c r="BE31" i="1"/>
  <c r="EC33" i="1"/>
  <c r="C34" i="1"/>
  <c r="DY34" i="1" s="1"/>
  <c r="DX35" i="1"/>
  <c r="DV35" i="1"/>
  <c r="C39" i="1"/>
  <c r="DW39" i="1" s="1"/>
  <c r="DZ39" i="1"/>
  <c r="EG39" i="1"/>
  <c r="EL39" i="1"/>
  <c r="DX41" i="1"/>
  <c r="DV41" i="1"/>
  <c r="DY41" i="1"/>
  <c r="DT44" i="1"/>
  <c r="EC46" i="1"/>
  <c r="BE46" i="1"/>
  <c r="EH46" i="1"/>
  <c r="EB47" i="1"/>
  <c r="EH47" i="1"/>
  <c r="ED47" i="1"/>
  <c r="DX49" i="1"/>
  <c r="DV49" i="1"/>
  <c r="DX50" i="1"/>
  <c r="DW50" i="1"/>
  <c r="EE52" i="1"/>
  <c r="AU53" i="1"/>
  <c r="EJ53" i="1"/>
  <c r="DX55" i="1"/>
  <c r="DV55" i="1"/>
  <c r="AU55" i="1"/>
  <c r="EJ55" i="1"/>
  <c r="DZ15" i="1"/>
  <c r="DT30" i="1"/>
  <c r="DY10" i="1"/>
  <c r="AU29" i="1"/>
  <c r="EJ29" i="1"/>
  <c r="EH8" i="1"/>
  <c r="EC8" i="1"/>
  <c r="EA10" i="1"/>
  <c r="AL13" i="1"/>
  <c r="EG13" i="1" s="1"/>
  <c r="AU14" i="1"/>
  <c r="EI15" i="1"/>
  <c r="EJ16" i="1"/>
  <c r="AU16" i="1"/>
  <c r="AU21" i="1"/>
  <c r="EJ21" i="1"/>
  <c r="EC22" i="1"/>
  <c r="C25" i="1"/>
  <c r="DW25" i="1" s="1"/>
  <c r="DT26" i="1"/>
  <c r="ED27" i="1"/>
  <c r="EL28" i="1"/>
  <c r="DW30" i="1"/>
  <c r="EE30" i="1"/>
  <c r="EJ32" i="1"/>
  <c r="AU32" i="1"/>
  <c r="ED33" i="1"/>
  <c r="DT35" i="1"/>
  <c r="EB36" i="1"/>
  <c r="EA36" i="1"/>
  <c r="DX36" i="1"/>
  <c r="DV36" i="1"/>
  <c r="EC38" i="1"/>
  <c r="DT41" i="1"/>
  <c r="DZ41" i="1"/>
  <c r="DU44" i="1"/>
  <c r="C46" i="1"/>
  <c r="DU46" i="1" s="1"/>
  <c r="EJ46" i="1"/>
  <c r="AU46" i="1"/>
  <c r="DT49" i="1"/>
  <c r="DZ49" i="1"/>
  <c r="DU50" i="1"/>
  <c r="EF52" i="1"/>
  <c r="DX53" i="1"/>
  <c r="DV53" i="1"/>
  <c r="DZ55" i="1"/>
  <c r="ED61" i="1"/>
  <c r="BE61" i="1"/>
  <c r="EJ37" i="1"/>
  <c r="EJ45" i="1"/>
  <c r="DT55" i="1"/>
  <c r="DW56" i="1"/>
  <c r="DT56" i="1"/>
  <c r="EJ56" i="1"/>
  <c r="DT60" i="1"/>
  <c r="DW62" i="1"/>
  <c r="C64" i="1"/>
  <c r="DY64" i="1" s="1"/>
  <c r="AL64" i="1"/>
  <c r="EG64" i="1" s="1"/>
  <c r="DY68" i="1"/>
  <c r="EI36" i="1"/>
  <c r="EI44" i="1"/>
  <c r="EJ52" i="1"/>
  <c r="ED53" i="1"/>
  <c r="ED54" i="1"/>
  <c r="ED55" i="1"/>
  <c r="ED56" i="1"/>
  <c r="BB56" i="1"/>
  <c r="EA57" i="1"/>
  <c r="EB57" i="1"/>
  <c r="C61" i="1"/>
  <c r="DU61" i="1" s="1"/>
  <c r="C65" i="1"/>
  <c r="DU65" i="1" s="1"/>
  <c r="EJ36" i="1"/>
  <c r="EC39" i="1"/>
  <c r="EI41" i="1"/>
  <c r="EJ44" i="1"/>
  <c r="EI49" i="1"/>
  <c r="AR64" i="1"/>
  <c r="EI64" i="1"/>
  <c r="AU43" i="1"/>
  <c r="C66" i="1"/>
  <c r="EA66" i="1" s="1"/>
  <c r="AL66" i="1"/>
  <c r="EG66" i="1" s="1"/>
  <c r="DW82" i="1"/>
  <c r="EB82" i="1"/>
  <c r="C32" i="1"/>
  <c r="DW32" i="1" s="1"/>
  <c r="AU40" i="1"/>
  <c r="AU48" i="1"/>
  <c r="EC49" i="1"/>
  <c r="AR57" i="1"/>
  <c r="EI57" i="1"/>
  <c r="AR58" i="1"/>
  <c r="EI58" i="1"/>
  <c r="AR59" i="1"/>
  <c r="EI59" i="1"/>
  <c r="AR60" i="1"/>
  <c r="EI60" i="1"/>
  <c r="EA61" i="1"/>
  <c r="EB61" i="1"/>
  <c r="AR61" i="1"/>
  <c r="EI61" i="1"/>
  <c r="EC61" i="1"/>
  <c r="BE62" i="1"/>
  <c r="AR65" i="1"/>
  <c r="EI65" i="1"/>
  <c r="EC65" i="1"/>
  <c r="BE66" i="1"/>
  <c r="DU57" i="1"/>
  <c r="ED57" i="1"/>
  <c r="ED58" i="1"/>
  <c r="ED59" i="1"/>
  <c r="ED60" i="1"/>
  <c r="C63" i="1"/>
  <c r="EB63" i="1" s="1"/>
  <c r="EA62" i="1"/>
  <c r="AR62" i="1"/>
  <c r="EI62" i="1"/>
  <c r="EC62" i="1"/>
  <c r="BE63" i="1"/>
  <c r="AR66" i="1"/>
  <c r="EI66" i="1"/>
  <c r="EC66" i="1"/>
  <c r="BB57" i="1"/>
  <c r="BB58" i="1"/>
  <c r="BB59" i="1"/>
  <c r="BB60" i="1"/>
  <c r="ED69" i="1"/>
  <c r="C73" i="1"/>
  <c r="DZ73" i="1" s="1"/>
  <c r="BE74" i="1"/>
  <c r="EC74" i="1"/>
  <c r="DY77" i="1"/>
  <c r="ED77" i="1"/>
  <c r="C81" i="1"/>
  <c r="DU81" i="1" s="1"/>
  <c r="DX82" i="1"/>
  <c r="DV82" i="1"/>
  <c r="EF82" i="1"/>
  <c r="EB100" i="1"/>
  <c r="EA100" i="1"/>
  <c r="DV100" i="1"/>
  <c r="BE71" i="1"/>
  <c r="EC71" i="1"/>
  <c r="C78" i="1"/>
  <c r="DZ78" i="1" s="1"/>
  <c r="BE79" i="1"/>
  <c r="EC79" i="1"/>
  <c r="DZ82" i="1"/>
  <c r="BE82" i="1"/>
  <c r="ED82" i="1"/>
  <c r="EL108" i="1"/>
  <c r="EI108" i="1"/>
  <c r="EJ108" i="1"/>
  <c r="EK108" i="1"/>
  <c r="BE68" i="1"/>
  <c r="ED71" i="1"/>
  <c r="BE76" i="1"/>
  <c r="EC76" i="1"/>
  <c r="ED79" i="1"/>
  <c r="DX92" i="1"/>
  <c r="EA92" i="1"/>
  <c r="EI98" i="1"/>
  <c r="AR98" i="1"/>
  <c r="BB70" i="1"/>
  <c r="BE73" i="1"/>
  <c r="EC73" i="1"/>
  <c r="DV80" i="1"/>
  <c r="BE81" i="1"/>
  <c r="EC81" i="1"/>
  <c r="C90" i="1"/>
  <c r="DY90" i="1" s="1"/>
  <c r="DU90" i="1"/>
  <c r="DX90" i="1"/>
  <c r="DV90" i="1"/>
  <c r="DZ97" i="1"/>
  <c r="BE70" i="1"/>
  <c r="EC70" i="1"/>
  <c r="DU72" i="1"/>
  <c r="DY73" i="1"/>
  <c r="ED73" i="1"/>
  <c r="BB75" i="1"/>
  <c r="DX75" i="1"/>
  <c r="EH76" i="1"/>
  <c r="BE78" i="1"/>
  <c r="EC78" i="1"/>
  <c r="ED81" i="1"/>
  <c r="EE82" i="1"/>
  <c r="EL82" i="1"/>
  <c r="AR83" i="1"/>
  <c r="EI83" i="1"/>
  <c r="C93" i="1"/>
  <c r="DW93" i="1" s="1"/>
  <c r="EB93" i="1"/>
  <c r="C98" i="1"/>
  <c r="EB98" i="1" s="1"/>
  <c r="C58" i="1"/>
  <c r="DV58" i="1" s="1"/>
  <c r="C59" i="1"/>
  <c r="C67" i="1"/>
  <c r="DW67" i="1" s="1"/>
  <c r="BB72" i="1"/>
  <c r="EA73" i="1"/>
  <c r="EH73" i="1"/>
  <c r="C74" i="1"/>
  <c r="DY74" i="1" s="1"/>
  <c r="BE75" i="1"/>
  <c r="EC75" i="1"/>
  <c r="DY78" i="1"/>
  <c r="BB80" i="1"/>
  <c r="EH81" i="1"/>
  <c r="EC68" i="1"/>
  <c r="EH70" i="1"/>
  <c r="C71" i="1"/>
  <c r="EA71" i="1" s="1"/>
  <c r="BE72" i="1"/>
  <c r="EC72" i="1"/>
  <c r="DY75" i="1"/>
  <c r="EH78" i="1"/>
  <c r="C79" i="1"/>
  <c r="DZ79" i="1" s="1"/>
  <c r="BE80" i="1"/>
  <c r="EC80" i="1"/>
  <c r="C83" i="1"/>
  <c r="DT83" i="1" s="1"/>
  <c r="C84" i="1"/>
  <c r="DV84" i="1" s="1"/>
  <c r="EB84" i="1"/>
  <c r="EH84" i="1"/>
  <c r="ED89" i="1"/>
  <c r="EC89" i="1"/>
  <c r="BB89" i="1"/>
  <c r="C68" i="1"/>
  <c r="DZ68" i="1" s="1"/>
  <c r="BE69" i="1"/>
  <c r="DU71" i="1"/>
  <c r="DY72" i="1"/>
  <c r="DT73" i="1"/>
  <c r="EH75" i="1"/>
  <c r="C76" i="1"/>
  <c r="DU76" i="1" s="1"/>
  <c r="BE77" i="1"/>
  <c r="EC77" i="1"/>
  <c r="EJ82" i="1"/>
  <c r="DX83" i="1"/>
  <c r="DV83" i="1"/>
  <c r="DY85" i="1"/>
  <c r="C86" i="1"/>
  <c r="DX86" i="1" s="1"/>
  <c r="EB89" i="1"/>
  <c r="EA89" i="1"/>
  <c r="C88" i="1"/>
  <c r="DX88" i="1" s="1"/>
  <c r="DW89" i="1"/>
  <c r="EI90" i="1"/>
  <c r="AR92" i="1"/>
  <c r="ED92" i="1"/>
  <c r="EC93" i="1"/>
  <c r="ED94" i="1"/>
  <c r="ED98" i="1"/>
  <c r="BB98" i="1"/>
  <c r="EJ83" i="1"/>
  <c r="EI84" i="1"/>
  <c r="EH86" i="1"/>
  <c r="DU87" i="1"/>
  <c r="DX89" i="1"/>
  <c r="BB93" i="1"/>
  <c r="ED93" i="1"/>
  <c r="EL99" i="1"/>
  <c r="EK99" i="1"/>
  <c r="ED101" i="1"/>
  <c r="EC101" i="1"/>
  <c r="BB101" i="1"/>
  <c r="EC105" i="1"/>
  <c r="EC83" i="1"/>
  <c r="EJ84" i="1"/>
  <c r="EI85" i="1"/>
  <c r="DZ89" i="1"/>
  <c r="BE89" i="1"/>
  <c r="EH96" i="1"/>
  <c r="EB101" i="1"/>
  <c r="EA101" i="1"/>
  <c r="ED105" i="1"/>
  <c r="BB105" i="1"/>
  <c r="EA107" i="1"/>
  <c r="EH108" i="1"/>
  <c r="EC108" i="1"/>
  <c r="BB83" i="1"/>
  <c r="BE88" i="1"/>
  <c r="DW92" i="1"/>
  <c r="ED97" i="1"/>
  <c r="BB97" i="1"/>
  <c r="EC99" i="1"/>
  <c r="C112" i="1"/>
  <c r="DW112" i="1" s="1"/>
  <c r="DU112" i="1"/>
  <c r="DX112" i="1"/>
  <c r="BB84" i="1"/>
  <c r="EC88" i="1"/>
  <c r="DY89" i="1"/>
  <c r="ED90" i="1"/>
  <c r="BB90" i="1"/>
  <c r="EI91" i="1"/>
  <c r="DV92" i="1"/>
  <c r="BB85" i="1"/>
  <c r="AU87" i="1"/>
  <c r="BE87" i="1"/>
  <c r="EC87" i="1"/>
  <c r="EC91" i="1"/>
  <c r="EI92" i="1"/>
  <c r="EJ99" i="1"/>
  <c r="EL100" i="1"/>
  <c r="EK100" i="1"/>
  <c r="EJ100" i="1"/>
  <c r="AU102" i="1"/>
  <c r="EJ102" i="1"/>
  <c r="AU86" i="1"/>
  <c r="ED87" i="1"/>
  <c r="EJ89" i="1"/>
  <c r="EE90" i="1"/>
  <c r="ED91" i="1"/>
  <c r="BB91" i="1"/>
  <c r="EH95" i="1"/>
  <c r="DX97" i="1"/>
  <c r="DV97" i="1"/>
  <c r="EI100" i="1"/>
  <c r="DU101" i="1"/>
  <c r="EL104" i="1"/>
  <c r="EK104" i="1"/>
  <c r="EJ104" i="1"/>
  <c r="AU106" i="1"/>
  <c r="EJ106" i="1"/>
  <c r="AU92" i="1"/>
  <c r="AR95" i="1"/>
  <c r="EI95" i="1"/>
  <c r="EC95" i="1"/>
  <c r="AR96" i="1"/>
  <c r="ED96" i="1"/>
  <c r="EC97" i="1"/>
  <c r="EJ98" i="1"/>
  <c r="DZ99" i="1"/>
  <c r="EG99" i="1"/>
  <c r="BE99" i="1"/>
  <c r="ED100" i="1"/>
  <c r="EE102" i="1"/>
  <c r="EL102" i="1"/>
  <c r="BE103" i="1"/>
  <c r="DY104" i="1"/>
  <c r="ED104" i="1"/>
  <c r="EJ105" i="1"/>
  <c r="EE106" i="1"/>
  <c r="EL106" i="1"/>
  <c r="DZ107" i="1"/>
  <c r="EG107" i="1"/>
  <c r="BE107" i="1"/>
  <c r="DX109" i="1"/>
  <c r="DV109" i="1"/>
  <c r="EG110" i="1"/>
  <c r="EA115" i="1"/>
  <c r="ED115" i="1"/>
  <c r="BB115" i="1"/>
  <c r="DY99" i="1"/>
  <c r="DW101" i="1"/>
  <c r="BE102" i="1"/>
  <c r="BE106" i="1"/>
  <c r="DY107" i="1"/>
  <c r="C116" i="1"/>
  <c r="EB116" i="1" s="1"/>
  <c r="DX101" i="1"/>
  <c r="AU101" i="1"/>
  <c r="EI103" i="1"/>
  <c r="DU104" i="1"/>
  <c r="EI107" i="1"/>
  <c r="ED108" i="1"/>
  <c r="DZ101" i="1"/>
  <c r="BE101" i="1"/>
  <c r="EJ103" i="1"/>
  <c r="DW104" i="1"/>
  <c r="EE104" i="1"/>
  <c r="DV104" i="1"/>
  <c r="BE105" i="1"/>
  <c r="EJ107" i="1"/>
  <c r="DW108" i="1"/>
  <c r="EE108" i="1"/>
  <c r="EA108" i="1"/>
  <c r="ED110" i="1"/>
  <c r="DU115" i="1"/>
  <c r="DX115" i="1"/>
  <c r="DV115" i="1"/>
  <c r="DT115" i="1"/>
  <c r="EH94" i="1"/>
  <c r="AL95" i="1"/>
  <c r="EG95" i="1" s="1"/>
  <c r="AL96" i="1"/>
  <c r="EG96" i="1" s="1"/>
  <c r="EF100" i="1"/>
  <c r="AU100" i="1"/>
  <c r="EI102" i="1"/>
  <c r="EK103" i="1"/>
  <c r="DX104" i="1"/>
  <c r="EF104" i="1"/>
  <c r="AU104" i="1"/>
  <c r="EA104" i="1"/>
  <c r="EI106" i="1"/>
  <c r="EK107" i="1"/>
  <c r="EF108" i="1"/>
  <c r="AU108" i="1"/>
  <c r="BB108" i="1"/>
  <c r="DG110" i="1"/>
  <c r="DG111" i="1" s="1"/>
  <c r="ED109" i="1"/>
  <c r="AR113" i="1"/>
  <c r="EI113" i="1"/>
  <c r="DZ115" i="1"/>
  <c r="ER117" i="1"/>
  <c r="EI86" i="1"/>
  <c r="EC94" i="1"/>
  <c r="C95" i="1"/>
  <c r="DV95" i="1" s="1"/>
  <c r="EI96" i="1"/>
  <c r="EI97" i="1"/>
  <c r="EE99" i="1"/>
  <c r="BE100" i="1"/>
  <c r="DY101" i="1"/>
  <c r="EE103" i="1"/>
  <c r="DZ104" i="1"/>
  <c r="EG104" i="1"/>
  <c r="BE104" i="1"/>
  <c r="EE107" i="1"/>
  <c r="EG108" i="1"/>
  <c r="BE108" i="1"/>
  <c r="EL110" i="1"/>
  <c r="EK110" i="1"/>
  <c r="DU116" i="1"/>
  <c r="DX116" i="1"/>
  <c r="DV116" i="1"/>
  <c r="DX117" i="1"/>
  <c r="BB92" i="1"/>
  <c r="AU93" i="1"/>
  <c r="BE93" i="1"/>
  <c r="EC96" i="1"/>
  <c r="EF99" i="1"/>
  <c r="AU99" i="1"/>
  <c r="EF103" i="1"/>
  <c r="AU103" i="1"/>
  <c r="DX107" i="1"/>
  <c r="EF107" i="1"/>
  <c r="AU107" i="1"/>
  <c r="AU109" i="1"/>
  <c r="EJ109" i="1"/>
  <c r="EL109" i="1"/>
  <c r="EK109" i="1"/>
  <c r="EF110" i="1"/>
  <c r="AU112" i="1"/>
  <c r="EJ112" i="1"/>
  <c r="DY115" i="1"/>
  <c r="BB95" i="1"/>
  <c r="AU111" i="1"/>
  <c r="AR112" i="1"/>
  <c r="EJ110" i="1"/>
  <c r="ED112" i="1"/>
  <c r="C113" i="1"/>
  <c r="EB113" i="1" s="1"/>
  <c r="EC115" i="1"/>
  <c r="EI116" i="1"/>
  <c r="BB109" i="1"/>
  <c r="BB110" i="1"/>
  <c r="EI111" i="1"/>
  <c r="BB113" i="1"/>
  <c r="EI114" i="1"/>
  <c r="C94" i="1"/>
  <c r="EI94" i="1"/>
  <c r="BB116" i="1"/>
  <c r="BB96" i="1"/>
  <c r="BB111" i="1"/>
  <c r="DZ75" i="1" l="1"/>
  <c r="DU14" i="1"/>
  <c r="DY106" i="1"/>
  <c r="DX54" i="1"/>
  <c r="DT109" i="1"/>
  <c r="EA116" i="1"/>
  <c r="DY12" i="1"/>
  <c r="EB54" i="1"/>
  <c r="DV37" i="1"/>
  <c r="DT12" i="1"/>
  <c r="DT116" i="1"/>
  <c r="DZ105" i="1"/>
  <c r="DW100" i="1"/>
  <c r="DU67" i="1"/>
  <c r="DW84" i="1"/>
  <c r="EA54" i="1"/>
  <c r="EB14" i="1"/>
  <c r="DT37" i="1"/>
  <c r="DZ85" i="1"/>
  <c r="DU82" i="1"/>
  <c r="DT84" i="1"/>
  <c r="EA80" i="1"/>
  <c r="DT40" i="1"/>
  <c r="DX12" i="1"/>
  <c r="DX37" i="1"/>
  <c r="DZ42" i="1"/>
  <c r="DZ33" i="1"/>
  <c r="DX14" i="1"/>
  <c r="DT28" i="1"/>
  <c r="EB12" i="1"/>
  <c r="DV91" i="1"/>
  <c r="EB105" i="1"/>
  <c r="DU91" i="1"/>
  <c r="DY54" i="1"/>
  <c r="DZ91" i="1"/>
  <c r="DU117" i="1"/>
  <c r="EB11" i="1"/>
  <c r="DZ40" i="1"/>
  <c r="DW37" i="1"/>
  <c r="DW75" i="1"/>
  <c r="DW106" i="1"/>
  <c r="EA85" i="1"/>
  <c r="DT91" i="1"/>
  <c r="DV69" i="1"/>
  <c r="DZ92" i="1"/>
  <c r="EA82" i="1"/>
  <c r="DV25" i="1"/>
  <c r="DT11" i="1"/>
  <c r="EB33" i="1"/>
  <c r="DZ14" i="1"/>
  <c r="EA117" i="1"/>
  <c r="DT82" i="1"/>
  <c r="DT80" i="1"/>
  <c r="EA37" i="1"/>
  <c r="DV12" i="1"/>
  <c r="DW14" i="1"/>
  <c r="DX44" i="1"/>
  <c r="DZ23" i="1"/>
  <c r="EB19" i="1"/>
  <c r="DV46" i="1"/>
  <c r="DW19" i="1"/>
  <c r="DZ37" i="1"/>
  <c r="DY7" i="1"/>
  <c r="DW72" i="1"/>
  <c r="DV10" i="1"/>
  <c r="DU10" i="1"/>
  <c r="DY14" i="1"/>
  <c r="DX17" i="1"/>
  <c r="DZ109" i="1"/>
  <c r="DY109" i="1"/>
  <c r="DY102" i="1"/>
  <c r="DV105" i="1"/>
  <c r="DT64" i="1"/>
  <c r="DW103" i="1"/>
  <c r="DZ19" i="1"/>
  <c r="DW77" i="1"/>
  <c r="DU60" i="1"/>
  <c r="DV54" i="1"/>
  <c r="DX91" i="1"/>
  <c r="EB106" i="1"/>
  <c r="DU40" i="1"/>
  <c r="DV19" i="1"/>
  <c r="DZ117" i="1"/>
  <c r="DT106" i="1"/>
  <c r="EA33" i="1"/>
  <c r="DZ80" i="1"/>
  <c r="DY19" i="1"/>
  <c r="DU92" i="1"/>
  <c r="DU103" i="1"/>
  <c r="DY69" i="1"/>
  <c r="EB60" i="1"/>
  <c r="DX19" i="1"/>
  <c r="DU29" i="1"/>
  <c r="DU109" i="1"/>
  <c r="DU12" i="1"/>
  <c r="DV14" i="1"/>
  <c r="DW109" i="1"/>
  <c r="DZ102" i="1"/>
  <c r="DT54" i="1"/>
  <c r="EA91" i="1"/>
  <c r="EA14" i="1"/>
  <c r="EB83" i="1"/>
  <c r="DX60" i="1"/>
  <c r="DU77" i="1"/>
  <c r="EA44" i="1"/>
  <c r="DY45" i="1"/>
  <c r="DT75" i="1"/>
  <c r="DZ7" i="1"/>
  <c r="DZ12" i="1"/>
  <c r="EB107" i="1"/>
  <c r="DU68" i="1"/>
  <c r="EA60" i="1"/>
  <c r="DY56" i="1"/>
  <c r="DW20" i="1"/>
  <c r="DX29" i="1"/>
  <c r="EA42" i="1"/>
  <c r="DU22" i="1"/>
  <c r="DX40" i="1"/>
  <c r="DX13" i="1"/>
  <c r="EB7" i="1"/>
  <c r="DU54" i="1"/>
  <c r="DX10" i="1"/>
  <c r="DW85" i="1"/>
  <c r="DT102" i="1"/>
  <c r="DX24" i="1"/>
  <c r="EB91" i="1"/>
  <c r="DT24" i="1"/>
  <c r="DZ54" i="1"/>
  <c r="DY91" i="1"/>
  <c r="DU108" i="1"/>
  <c r="DV102" i="1"/>
  <c r="EB40" i="1"/>
  <c r="DU102" i="1"/>
  <c r="DV75" i="1"/>
  <c r="DT19" i="1"/>
  <c r="DV26" i="1"/>
  <c r="DU27" i="1"/>
  <c r="DY21" i="1"/>
  <c r="DW29" i="1"/>
  <c r="DW7" i="1"/>
  <c r="EB117" i="1"/>
  <c r="EA55" i="1"/>
  <c r="DU75" i="1"/>
  <c r="EA105" i="1"/>
  <c r="EA19" i="1"/>
  <c r="DX100" i="1"/>
  <c r="EB102" i="1"/>
  <c r="DX80" i="1"/>
  <c r="DV60" i="1"/>
  <c r="DT103" i="1"/>
  <c r="DZ114" i="1"/>
  <c r="DW60" i="1"/>
  <c r="DY13" i="1"/>
  <c r="DV110" i="1"/>
  <c r="DV108" i="1"/>
  <c r="DX102" i="1"/>
  <c r="DX110" i="1"/>
  <c r="DX108" i="1"/>
  <c r="DW102" i="1"/>
  <c r="DT107" i="1"/>
  <c r="DX77" i="1"/>
  <c r="DU110" i="1"/>
  <c r="DW117" i="1"/>
  <c r="DX105" i="1"/>
  <c r="EA109" i="1"/>
  <c r="DV107" i="1"/>
  <c r="EA75" i="1"/>
  <c r="DZ77" i="1"/>
  <c r="DU100" i="1"/>
  <c r="DV57" i="1"/>
  <c r="DZ26" i="1"/>
  <c r="DV40" i="1"/>
  <c r="DY117" i="1"/>
  <c r="DX51" i="1"/>
  <c r="DU23" i="1"/>
  <c r="DT43" i="1"/>
  <c r="DV98" i="1"/>
  <c r="DX114" i="1"/>
  <c r="EB103" i="1"/>
  <c r="DZ74" i="1"/>
  <c r="EB90" i="1"/>
  <c r="DT61" i="1"/>
  <c r="DV52" i="1"/>
  <c r="DX25" i="1"/>
  <c r="DW48" i="1"/>
  <c r="EB8" i="1"/>
  <c r="EA9" i="1"/>
  <c r="DT99" i="1"/>
  <c r="DT100" i="1"/>
  <c r="DW51" i="1"/>
  <c r="DV33" i="1"/>
  <c r="DV114" i="1"/>
  <c r="DU97" i="1"/>
  <c r="DV103" i="1"/>
  <c r="EB86" i="1"/>
  <c r="DU86" i="1"/>
  <c r="DU74" i="1"/>
  <c r="DY79" i="1"/>
  <c r="DV9" i="1"/>
  <c r="DZ48" i="1"/>
  <c r="DT38" i="1"/>
  <c r="DX33" i="1"/>
  <c r="DW8" i="1"/>
  <c r="DT9" i="1"/>
  <c r="EB43" i="1"/>
  <c r="DT13" i="1"/>
  <c r="DZ32" i="1"/>
  <c r="DU33" i="1"/>
  <c r="DZ100" i="1"/>
  <c r="DU114" i="1"/>
  <c r="EB97" i="1"/>
  <c r="EA103" i="1"/>
  <c r="EA86" i="1"/>
  <c r="DY23" i="1"/>
  <c r="DX9" i="1"/>
  <c r="DU17" i="1"/>
  <c r="DW17" i="1"/>
  <c r="DZ31" i="1"/>
  <c r="EA13" i="1"/>
  <c r="DY9" i="1"/>
  <c r="DV43" i="1"/>
  <c r="EA48" i="1"/>
  <c r="EA87" i="1"/>
  <c r="DT110" i="1"/>
  <c r="DW70" i="1"/>
  <c r="DX111" i="1"/>
  <c r="EB23" i="1"/>
  <c r="DX52" i="1"/>
  <c r="EB9" i="1"/>
  <c r="DZ9" i="1"/>
  <c r="EB13" i="1"/>
  <c r="DX43" i="1"/>
  <c r="DV96" i="1"/>
  <c r="DZ13" i="1"/>
  <c r="DX98" i="1"/>
  <c r="DX48" i="1"/>
  <c r="DW99" i="1"/>
  <c r="EA8" i="1"/>
  <c r="DT114" i="1"/>
  <c r="DY97" i="1"/>
  <c r="DU111" i="1"/>
  <c r="DY93" i="1"/>
  <c r="EA97" i="1"/>
  <c r="EB66" i="1"/>
  <c r="EB48" i="1"/>
  <c r="DU13" i="1"/>
  <c r="EA11" i="1"/>
  <c r="DV17" i="1"/>
  <c r="DU96" i="1"/>
  <c r="DT108" i="1"/>
  <c r="DT87" i="1"/>
  <c r="DX72" i="1"/>
  <c r="DU64" i="1"/>
  <c r="DU66" i="1"/>
  <c r="DV13" i="1"/>
  <c r="DY29" i="1"/>
  <c r="EA21" i="1"/>
  <c r="EB114" i="1"/>
  <c r="DX70" i="1"/>
  <c r="DY51" i="1"/>
  <c r="DV51" i="1"/>
  <c r="EB51" i="1"/>
  <c r="DY48" i="1"/>
  <c r="DV111" i="1"/>
  <c r="DZ112" i="1"/>
  <c r="EA74" i="1"/>
  <c r="DU42" i="1"/>
  <c r="DW24" i="1"/>
  <c r="DW90" i="1"/>
  <c r="EA70" i="1"/>
  <c r="DZ96" i="1"/>
  <c r="DZ76" i="1"/>
  <c r="EB32" i="1"/>
  <c r="DU11" i="1"/>
  <c r="DU107" i="1"/>
  <c r="DZ108" i="1"/>
  <c r="DT93" i="1"/>
  <c r="DU80" i="1"/>
  <c r="EA29" i="1"/>
  <c r="DV8" i="1"/>
  <c r="DW111" i="1"/>
  <c r="DZ93" i="1"/>
  <c r="DW115" i="1"/>
  <c r="DV99" i="1"/>
  <c r="DW96" i="1"/>
  <c r="DZ69" i="1"/>
  <c r="DY96" i="1"/>
  <c r="EB65" i="1"/>
  <c r="DT8" i="1"/>
  <c r="DW26" i="1"/>
  <c r="DU6" i="1"/>
  <c r="DX8" i="1"/>
  <c r="EB85" i="1"/>
  <c r="DV48" i="1"/>
  <c r="DT111" i="1"/>
  <c r="EB111" i="1"/>
  <c r="DY103" i="1"/>
  <c r="DV106" i="1"/>
  <c r="EA99" i="1"/>
  <c r="DZ87" i="1"/>
  <c r="DW87" i="1"/>
  <c r="DT96" i="1"/>
  <c r="DY80" i="1"/>
  <c r="DY70" i="1"/>
  <c r="DZ70" i="1"/>
  <c r="DY71" i="1"/>
  <c r="EB64" i="1"/>
  <c r="DW71" i="1"/>
  <c r="DZ22" i="1"/>
  <c r="DV62" i="1"/>
  <c r="DX62" i="1"/>
  <c r="DT50" i="1"/>
  <c r="DU43" i="1"/>
  <c r="DX106" i="1"/>
  <c r="DW97" i="1"/>
  <c r="DT86" i="1"/>
  <c r="DU79" i="1"/>
  <c r="DU69" i="1"/>
  <c r="DV77" i="1"/>
  <c r="DT69" i="1"/>
  <c r="DU70" i="1"/>
  <c r="DV70" i="1"/>
  <c r="EA72" i="1"/>
  <c r="EA64" i="1"/>
  <c r="EA43" i="1"/>
  <c r="DY15" i="1"/>
  <c r="DZ50" i="1"/>
  <c r="DZ43" i="1"/>
  <c r="DW9" i="1"/>
  <c r="DT22" i="1"/>
  <c r="EA63" i="1"/>
  <c r="DT46" i="1"/>
  <c r="DU35" i="1"/>
  <c r="DZ17" i="1"/>
  <c r="DY17" i="1"/>
  <c r="DT21" i="1"/>
  <c r="DW80" i="1"/>
  <c r="DX87" i="1"/>
  <c r="DW38" i="1"/>
  <c r="DT33" i="1"/>
  <c r="EB96" i="1"/>
  <c r="DW86" i="1"/>
  <c r="DZ103" i="1"/>
  <c r="DX93" i="1"/>
  <c r="DV72" i="1"/>
  <c r="DU48" i="1"/>
  <c r="DZ51" i="1"/>
  <c r="DZ110" i="1"/>
  <c r="EB99" i="1"/>
  <c r="DY52" i="1"/>
  <c r="DW21" i="1"/>
  <c r="DZ106" i="1"/>
  <c r="DU99" i="1"/>
  <c r="DT92" i="1"/>
  <c r="DX69" i="1"/>
  <c r="EA96" i="1"/>
  <c r="DT72" i="1"/>
  <c r="EA24" i="1"/>
  <c r="DZ8" i="1"/>
  <c r="DY35" i="1"/>
  <c r="EA50" i="1"/>
  <c r="DW43" i="1"/>
  <c r="EA114" i="1"/>
  <c r="DW105" i="1"/>
  <c r="DZ72" i="1"/>
  <c r="DU24" i="1"/>
  <c r="EA46" i="1"/>
  <c r="DW52" i="1"/>
  <c r="DW22" i="1"/>
  <c r="DW114" i="1"/>
  <c r="DY87" i="1"/>
  <c r="EA65" i="1"/>
  <c r="EA51" i="1"/>
  <c r="DV22" i="1"/>
  <c r="DZ46" i="1"/>
  <c r="EB17" i="1"/>
  <c r="DT77" i="1"/>
  <c r="EA110" i="1"/>
  <c r="DY105" i="1"/>
  <c r="EA111" i="1"/>
  <c r="DW116" i="1"/>
  <c r="DY111" i="1"/>
  <c r="DY108" i="1"/>
  <c r="DU106" i="1"/>
  <c r="DZ86" i="1"/>
  <c r="DV87" i="1"/>
  <c r="EA69" i="1"/>
  <c r="DT70" i="1"/>
  <c r="EB62" i="1"/>
  <c r="DZ62" i="1"/>
  <c r="DX42" i="1"/>
  <c r="DV29" i="1"/>
  <c r="EB24" i="1"/>
  <c r="DV50" i="1"/>
  <c r="DT29" i="1"/>
  <c r="DU8" i="1"/>
  <c r="DV24" i="1"/>
  <c r="DT17" i="1"/>
  <c r="DT105" i="1"/>
  <c r="DT51" i="1"/>
  <c r="DW69" i="1"/>
  <c r="DZ59" i="1"/>
  <c r="DX59" i="1"/>
  <c r="DW59" i="1"/>
  <c r="DW113" i="1"/>
  <c r="DT95" i="1"/>
  <c r="DV112" i="1"/>
  <c r="DT81" i="1"/>
  <c r="EA83" i="1"/>
  <c r="DZ83" i="1"/>
  <c r="DX67" i="1"/>
  <c r="DZ67" i="1"/>
  <c r="DY67" i="1"/>
  <c r="DZ81" i="1"/>
  <c r="EA58" i="1"/>
  <c r="DX61" i="1"/>
  <c r="DW61" i="1"/>
  <c r="DZ61" i="1"/>
  <c r="DV61" i="1"/>
  <c r="DW34" i="1"/>
  <c r="DV34" i="1"/>
  <c r="DT34" i="1"/>
  <c r="DY20" i="1"/>
  <c r="DW78" i="1"/>
  <c r="DY39" i="1"/>
  <c r="DT6" i="1"/>
  <c r="EB15" i="1"/>
  <c r="DY38" i="1"/>
  <c r="DX38" i="1"/>
  <c r="DT78" i="1"/>
  <c r="EB20" i="1"/>
  <c r="EA20" i="1"/>
  <c r="EB34" i="1"/>
  <c r="DZ16" i="1"/>
  <c r="DV16" i="1"/>
  <c r="DY16" i="1"/>
  <c r="DX16" i="1"/>
  <c r="DX18" i="1"/>
  <c r="DW18" i="1"/>
  <c r="DT18" i="1"/>
  <c r="DV18" i="1"/>
  <c r="DY58" i="1"/>
  <c r="EA38" i="1"/>
  <c r="EB31" i="1"/>
  <c r="EA31" i="1"/>
  <c r="DU31" i="1"/>
  <c r="DV31" i="1"/>
  <c r="DZ45" i="1"/>
  <c r="DX45" i="1"/>
  <c r="DW45" i="1"/>
  <c r="DV45" i="1"/>
  <c r="EB38" i="1"/>
  <c r="DT31" i="1"/>
  <c r="EB88" i="1"/>
  <c r="DW88" i="1"/>
  <c r="DT88" i="1"/>
  <c r="DY59" i="1"/>
  <c r="DV39" i="1"/>
  <c r="EA39" i="1"/>
  <c r="EB67" i="1"/>
  <c r="DV38" i="1"/>
  <c r="DV59" i="1"/>
  <c r="DT16" i="1"/>
  <c r="DW16" i="1"/>
  <c r="DT25" i="1"/>
  <c r="DU59" i="1"/>
  <c r="DW47" i="1"/>
  <c r="DV47" i="1"/>
  <c r="EA47" i="1"/>
  <c r="DY61" i="1"/>
  <c r="EA16" i="1"/>
  <c r="EB6" i="1"/>
  <c r="EA6" i="1"/>
  <c r="DU45" i="1"/>
  <c r="DV6" i="1"/>
  <c r="DU20" i="1"/>
  <c r="EB18" i="1"/>
  <c r="DV94" i="1"/>
  <c r="DW94" i="1"/>
  <c r="DX94" i="1"/>
  <c r="DY94" i="1"/>
  <c r="DX113" i="1"/>
  <c r="DU113" i="1"/>
  <c r="DU94" i="1"/>
  <c r="DZ98" i="1"/>
  <c r="EA98" i="1"/>
  <c r="DU98" i="1"/>
  <c r="DF111" i="1"/>
  <c r="DF112" i="1" s="1"/>
  <c r="DT113" i="1"/>
  <c r="DY88" i="1"/>
  <c r="DU78" i="1"/>
  <c r="DW79" i="1"/>
  <c r="EA59" i="1"/>
  <c r="EA67" i="1"/>
  <c r="DT112" i="1"/>
  <c r="EA95" i="1"/>
  <c r="DU83" i="1"/>
  <c r="DV76" i="1"/>
  <c r="DT76" i="1"/>
  <c r="EB76" i="1"/>
  <c r="DX76" i="1"/>
  <c r="DW76" i="1"/>
  <c r="DV68" i="1"/>
  <c r="DT68" i="1"/>
  <c r="EB68" i="1"/>
  <c r="DX68" i="1"/>
  <c r="DW68" i="1"/>
  <c r="DZ84" i="1"/>
  <c r="DY84" i="1"/>
  <c r="DV71" i="1"/>
  <c r="DT71" i="1"/>
  <c r="EB71" i="1"/>
  <c r="DX71" i="1"/>
  <c r="DU93" i="1"/>
  <c r="DV93" i="1"/>
  <c r="EA76" i="1"/>
  <c r="EA90" i="1"/>
  <c r="DZ90" i="1"/>
  <c r="DT90" i="1"/>
  <c r="DX84" i="1"/>
  <c r="DV63" i="1"/>
  <c r="DZ63" i="1"/>
  <c r="DY63" i="1"/>
  <c r="DX63" i="1"/>
  <c r="DW63" i="1"/>
  <c r="DW74" i="1"/>
  <c r="DU63" i="1"/>
  <c r="DV66" i="1"/>
  <c r="DZ66" i="1"/>
  <c r="DY66" i="1"/>
  <c r="DW66" i="1"/>
  <c r="DX66" i="1"/>
  <c r="DT65" i="1"/>
  <c r="DY18" i="1"/>
  <c r="DU32" i="1"/>
  <c r="DX31" i="1"/>
  <c r="DU38" i="1"/>
  <c r="DW23" i="1"/>
  <c r="EA23" i="1"/>
  <c r="DV23" i="1"/>
  <c r="DT23" i="1"/>
  <c r="DU16" i="1"/>
  <c r="DZ11" i="1"/>
  <c r="DY11" i="1"/>
  <c r="DY65" i="1"/>
  <c r="DT47" i="1"/>
  <c r="DT32" i="1"/>
  <c r="EB45" i="1"/>
  <c r="EA34" i="1"/>
  <c r="DU52" i="1"/>
  <c r="EB52" i="1"/>
  <c r="EA52" i="1"/>
  <c r="DW42" i="1"/>
  <c r="DV42" i="1"/>
  <c r="EB42" i="1"/>
  <c r="DT42" i="1"/>
  <c r="DX6" i="1"/>
  <c r="DZ20" i="1"/>
  <c r="DX11" i="1"/>
  <c r="EA113" i="1"/>
  <c r="DZ113" i="1"/>
  <c r="DZ94" i="1"/>
  <c r="EB78" i="1"/>
  <c r="DX78" i="1"/>
  <c r="DV78" i="1"/>
  <c r="EB59" i="1"/>
  <c r="DT59" i="1"/>
  <c r="EB95" i="1"/>
  <c r="EA79" i="1"/>
  <c r="EB81" i="1"/>
  <c r="DX81" i="1"/>
  <c r="DW81" i="1"/>
  <c r="DV81" i="1"/>
  <c r="DT58" i="1"/>
  <c r="DW15" i="1"/>
  <c r="EA15" i="1"/>
  <c r="DV15" i="1"/>
  <c r="DU15" i="1"/>
  <c r="EB112" i="1"/>
  <c r="EA112" i="1"/>
  <c r="EB94" i="1"/>
  <c r="DY113" i="1"/>
  <c r="DT94" i="1"/>
  <c r="EA88" i="1"/>
  <c r="DZ88" i="1"/>
  <c r="DW98" i="1"/>
  <c r="DV86" i="1"/>
  <c r="DY86" i="1"/>
  <c r="EA84" i="1"/>
  <c r="EA78" i="1"/>
  <c r="EA93" i="1"/>
  <c r="DV88" i="1"/>
  <c r="DY76" i="1"/>
  <c r="DU84" i="1"/>
  <c r="DZ71" i="1"/>
  <c r="DV67" i="1"/>
  <c r="DT63" i="1"/>
  <c r="DT66" i="1"/>
  <c r="DU47" i="1"/>
  <c r="EA32" i="1"/>
  <c r="DX15" i="1"/>
  <c r="DY31" i="1"/>
  <c r="DU34" i="1"/>
  <c r="DT20" i="1"/>
  <c r="DW6" i="1"/>
  <c r="DZ58" i="1"/>
  <c r="DX58" i="1"/>
  <c r="DW58" i="1"/>
  <c r="DW95" i="1"/>
  <c r="DX95" i="1"/>
  <c r="DZ95" i="1"/>
  <c r="DY95" i="1"/>
  <c r="DY98" i="1"/>
  <c r="DV79" i="1"/>
  <c r="DT79" i="1"/>
  <c r="EB79" i="1"/>
  <c r="DX79" i="1"/>
  <c r="EB73" i="1"/>
  <c r="DX73" i="1"/>
  <c r="DW73" i="1"/>
  <c r="DV73" i="1"/>
  <c r="EB25" i="1"/>
  <c r="DY25" i="1"/>
  <c r="DZ25" i="1"/>
  <c r="EA25" i="1"/>
  <c r="DT39" i="1"/>
  <c r="EA94" i="1"/>
  <c r="DY112" i="1"/>
  <c r="DZ116" i="1"/>
  <c r="DY116" i="1"/>
  <c r="DV113" i="1"/>
  <c r="DT98" i="1"/>
  <c r="DU95" i="1"/>
  <c r="DW83" i="1"/>
  <c r="EA81" i="1"/>
  <c r="DX74" i="1"/>
  <c r="DV74" i="1"/>
  <c r="DT74" i="1"/>
  <c r="EB74" i="1"/>
  <c r="DT67" i="1"/>
  <c r="DY81" i="1"/>
  <c r="EA68" i="1"/>
  <c r="DU88" i="1"/>
  <c r="DY83" i="1"/>
  <c r="DU73" i="1"/>
  <c r="EB58" i="1"/>
  <c r="DX32" i="1"/>
  <c r="DV32" i="1"/>
  <c r="DY32" i="1"/>
  <c r="DV65" i="1"/>
  <c r="DX65" i="1"/>
  <c r="DW65" i="1"/>
  <c r="DZ65" i="1"/>
  <c r="DV64" i="1"/>
  <c r="DZ64" i="1"/>
  <c r="DX64" i="1"/>
  <c r="DW64" i="1"/>
  <c r="DY46" i="1"/>
  <c r="DX46" i="1"/>
  <c r="DU39" i="1"/>
  <c r="EB46" i="1"/>
  <c r="DU25" i="1"/>
  <c r="DX39" i="1"/>
  <c r="EA18" i="1"/>
  <c r="EA45" i="1"/>
  <c r="DU58" i="1"/>
  <c r="EB39" i="1"/>
  <c r="DV20" i="1"/>
  <c r="DZ6" i="1"/>
  <c r="DU18" i="1"/>
  <c r="DW11" i="1"/>
  <c r="DG112" i="1" l="1"/>
  <c r="DG113" i="1" s="1"/>
  <c r="DF113" i="1" l="1"/>
  <c r="DF114" i="1" s="1"/>
  <c r="DG114" i="1" l="1"/>
  <c r="DG115" i="1" s="1"/>
  <c r="DF115" i="1" l="1"/>
  <c r="DF116" i="1" s="1"/>
  <c r="DG116" i="1" l="1"/>
  <c r="DG117" i="1" s="1"/>
  <c r="DF1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Zucman</author>
    <author>tc={300D6869-6410-D947-8F01-95D4187B1A22}</author>
  </authors>
  <commentList>
    <comment ref="V1" authorId="0" shapeId="0" xr:uid="{552E9161-79F9-A74A-B397-952E63E44705}">
      <text>
        <r>
          <rPr>
            <b/>
            <sz val="9"/>
            <color indexed="81"/>
            <rFont val="Calibri"/>
            <family val="2"/>
          </rPr>
          <t>Gabriel Zucman:</t>
        </r>
        <r>
          <rPr>
            <sz val="9"/>
            <color indexed="81"/>
            <rFont val="Calibri"/>
            <family val="2"/>
          </rPr>
          <t xml:space="preserve">
Gabriel Zucman:
In 64-65, no data on estinc so we assume all estate &amp; trust income is distributed</t>
        </r>
      </text>
    </comment>
    <comment ref="W1" authorId="0" shapeId="0" xr:uid="{02527B81-2202-DD41-AA83-1205FCDB9328}">
      <text>
        <r>
          <rPr>
            <b/>
            <sz val="9"/>
            <color rgb="FF000000"/>
            <rFont val="Calibri"/>
            <family val="2"/>
          </rPr>
          <t>Gabriel Zucman: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Gabriel Zucman:
</t>
        </r>
        <r>
          <rPr>
            <sz val="9"/>
            <color rgb="FF000000"/>
            <rFont val="Calibri"/>
            <family val="2"/>
          </rPr>
          <t>In 64-65, no data on estinc so we assume all estate &amp; trust income is distributed</t>
        </r>
      </text>
    </comment>
    <comment ref="X1" authorId="0" shapeId="0" xr:uid="{A23B9761-53E3-7549-AF7B-0DA9CFEDBD65}">
      <text>
        <r>
          <rPr>
            <b/>
            <sz val="9"/>
            <color indexed="81"/>
            <rFont val="Calibri"/>
            <family val="2"/>
          </rPr>
          <t>Gabriel Zucman:</t>
        </r>
        <r>
          <rPr>
            <sz val="9"/>
            <color indexed="81"/>
            <rFont val="Calibri"/>
            <family val="2"/>
          </rPr>
          <t xml:space="preserve">
Gabriel Zucman:
In 64-65, no data on estinc so we assume all estate &amp; trust income is distributed</t>
        </r>
      </text>
    </comment>
    <comment ref="Y1" authorId="0" shapeId="0" xr:uid="{F8D9168D-967C-1649-B2E2-83B86483D8BE}">
      <text>
        <r>
          <rPr>
            <b/>
            <sz val="9"/>
            <color indexed="81"/>
            <rFont val="Calibri"/>
            <family val="2"/>
          </rPr>
          <t>Gabriel Zucman:</t>
        </r>
        <r>
          <rPr>
            <sz val="9"/>
            <color indexed="81"/>
            <rFont val="Calibri"/>
            <family val="2"/>
          </rPr>
          <t xml:space="preserve">
Gabriel Zucman:
In 64-65, no data on estinc so we assume all estate &amp; trust income is distributed</t>
        </r>
      </text>
    </comment>
    <comment ref="Z1" authorId="0" shapeId="0" xr:uid="{7971A0D0-3874-9348-8165-9E9EE9D21D93}">
      <text>
        <r>
          <rPr>
            <b/>
            <sz val="9"/>
            <color rgb="FF000000"/>
            <rFont val="Calibri"/>
            <family val="2"/>
          </rPr>
          <t>Gabriel Zucman: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Gabriel Zucman:
</t>
        </r>
        <r>
          <rPr>
            <sz val="9"/>
            <color rgb="FF000000"/>
            <rFont val="Calibri"/>
            <family val="2"/>
          </rPr>
          <t>In 64-65, no data on estinc so we assume all estate &amp; trust income is distributed</t>
        </r>
      </text>
    </comment>
    <comment ref="ER1" authorId="1" shapeId="0" xr:uid="{300D6869-6410-D947-8F01-95D4187B1A22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Since 2007: from FRED https://fred.stlouisfed.org/series/SPPOP65UPTOZSUSA</t>
        </r>
      </text>
    </comment>
  </commentList>
</comments>
</file>

<file path=xl/sharedStrings.xml><?xml version="1.0" encoding="utf-8"?>
<sst xmlns="http://schemas.openxmlformats.org/spreadsheetml/2006/main" count="195" uniqueCount="195">
  <si>
    <t>yr</t>
  </si>
  <si>
    <t>fracfiling</t>
  </si>
  <si>
    <t>ttwealth</t>
  </si>
  <si>
    <t>ttdivw</t>
  </si>
  <si>
    <t>ttintexmw</t>
  </si>
  <si>
    <t>ttinttaxw</t>
  </si>
  <si>
    <t>ttmmbondfund</t>
  </si>
  <si>
    <t>ttmiscw</t>
  </si>
  <si>
    <t>ttschcpartw</t>
  </si>
  <si>
    <t>ttschcw</t>
  </si>
  <si>
    <t>ttpartw</t>
  </si>
  <si>
    <t>ttscorw</t>
  </si>
  <si>
    <t>ttrentw</t>
  </si>
  <si>
    <t>ttmortw</t>
  </si>
  <si>
    <t>ttrentmortw</t>
  </si>
  <si>
    <t>ttrestw</t>
  </si>
  <si>
    <t>ttpeniraw</t>
  </si>
  <si>
    <t>ttpenw</t>
  </si>
  <si>
    <t>fraceqpen</t>
  </si>
  <si>
    <t>ttothdebt</t>
  </si>
  <si>
    <t>ttcurrency</t>
  </si>
  <si>
    <t>ttundtr_kg</t>
  </si>
  <si>
    <t>ttundtr_div</t>
  </si>
  <si>
    <t>ttundtr_int</t>
  </si>
  <si>
    <t>ttundtr_bus</t>
  </si>
  <si>
    <t>ttundtr_rent</t>
  </si>
  <si>
    <t>ttfainc</t>
  </si>
  <si>
    <t>ttfkcot</t>
  </si>
  <si>
    <t>ttfkmik</t>
  </si>
  <si>
    <t>ttfkprk</t>
  </si>
  <si>
    <t>ttfksubk</t>
  </si>
  <si>
    <r>
      <t>ttproptax</t>
    </r>
    <r>
      <rPr>
        <sz val="12"/>
        <color theme="1"/>
        <rFont val="Arial"/>
        <family val="2"/>
      </rPr>
      <t>_res</t>
    </r>
  </si>
  <si>
    <t>ttproptax_bus</t>
  </si>
  <si>
    <t>ttfkinc</t>
  </si>
  <si>
    <t>ttfkhou</t>
  </si>
  <si>
    <t>ttfkhoumain</t>
  </si>
  <si>
    <t>ttfkhourent</t>
  </si>
  <si>
    <t>ttfkequ</t>
  </si>
  <si>
    <t>ttfkequ_c</t>
  </si>
  <si>
    <t>ttfkequ_s</t>
  </si>
  <si>
    <t>ttfkfix</t>
  </si>
  <si>
    <t>ttfkbus</t>
  </si>
  <si>
    <t>ttfkbus_p</t>
  </si>
  <si>
    <t>ttfkbus_s</t>
  </si>
  <si>
    <t>ttfkpen</t>
  </si>
  <si>
    <t>ttfkpen_eq</t>
  </si>
  <si>
    <t>ttfpen_fix</t>
  </si>
  <si>
    <t>ttfkmor</t>
  </si>
  <si>
    <t>ttfknmo</t>
  </si>
  <si>
    <t>ttflinc</t>
  </si>
  <si>
    <t>ttflemp</t>
  </si>
  <si>
    <t>ttfllbu</t>
  </si>
  <si>
    <t>ttfllbu_p</t>
  </si>
  <si>
    <t>ttfllbu_s</t>
  </si>
  <si>
    <t>ttflprl</t>
  </si>
  <si>
    <t>ttflsubl</t>
  </si>
  <si>
    <t>ttsalestax</t>
  </si>
  <si>
    <t>ttflwag</t>
  </si>
  <si>
    <t>ttflsup</t>
  </si>
  <si>
    <t>ttoacont</t>
  </si>
  <si>
    <t>ttdicont</t>
  </si>
  <si>
    <t>tthicont</t>
  </si>
  <si>
    <t>ttuicont</t>
  </si>
  <si>
    <t>ttsecont_oa</t>
  </si>
  <si>
    <t>ttsecont_di</t>
  </si>
  <si>
    <t>ttsecont_hi</t>
  </si>
  <si>
    <t>ttptinc</t>
  </si>
  <si>
    <t>ttplcon</t>
  </si>
  <si>
    <t>ttinvincpen</t>
  </si>
  <si>
    <t>ttpenben</t>
  </si>
  <si>
    <t>ttuidiben</t>
  </si>
  <si>
    <t>ttssben</t>
  </si>
  <si>
    <t>ttuiben</t>
  </si>
  <si>
    <t>ttssiben</t>
  </si>
  <si>
    <t>ttsnapben</t>
  </si>
  <si>
    <t>ttworkcompben</t>
  </si>
  <si>
    <t>ttvetben</t>
  </si>
  <si>
    <t>ttnonvetben</t>
  </si>
  <si>
    <t>tttanfben</t>
  </si>
  <si>
    <t>ttothben</t>
  </si>
  <si>
    <t>ttmedicare</t>
  </si>
  <si>
    <t>ttmedicaid</t>
  </si>
  <si>
    <t>ttmedicaidenroll</t>
  </si>
  <si>
    <t>ttothinkind</t>
  </si>
  <si>
    <t>ttkindben</t>
  </si>
  <si>
    <t>ttcolexp</t>
  </si>
  <si>
    <t>tteducexp</t>
  </si>
  <si>
    <t>ttnpishinc</t>
  </si>
  <si>
    <t>ttgovint</t>
  </si>
  <si>
    <t>tttax</t>
  </si>
  <si>
    <t>ttben</t>
  </si>
  <si>
    <t>ttprimsupgov</t>
  </si>
  <si>
    <t>ttprisupss</t>
  </si>
  <si>
    <t>ttprisupenprivate</t>
  </si>
  <si>
    <t>payrolltaxer</t>
  </si>
  <si>
    <t>pensioncont</t>
  </si>
  <si>
    <t>pensionconter</t>
  </si>
  <si>
    <t>pensioncontee</t>
  </si>
  <si>
    <t>healthcont</t>
  </si>
  <si>
    <t>othbenefits</t>
  </si>
  <si>
    <t>ttfedtax</t>
  </si>
  <si>
    <t>ttstatetax</t>
  </si>
  <si>
    <t>ttcred</t>
  </si>
  <si>
    <t>ttestatetax</t>
  </si>
  <si>
    <t>fracestp0p90</t>
  </si>
  <si>
    <t>fracestp90p95</t>
  </si>
  <si>
    <t>fracestp95p99</t>
  </si>
  <si>
    <t>fracestp99p995</t>
  </si>
  <si>
    <t>fracestp995p999</t>
  </si>
  <si>
    <t>fracestp999p9999</t>
  </si>
  <si>
    <t>fracesttop001</t>
  </si>
  <si>
    <t>ttothcon</t>
  </si>
  <si>
    <t>ttdiinc</t>
  </si>
  <si>
    <t>ttdikin</t>
  </si>
  <si>
    <t>ttninc</t>
  </si>
  <si>
    <t>private_saving</t>
  </si>
  <si>
    <t>piksaezden</t>
  </si>
  <si>
    <t>piksaezwag</t>
  </si>
  <si>
    <t>piksaezbus</t>
  </si>
  <si>
    <t>piksaezint</t>
  </si>
  <si>
    <t>piksaezdiv</t>
  </si>
  <si>
    <t>piksaezren</t>
  </si>
  <si>
    <r>
      <t>piksaezden</t>
    </r>
    <r>
      <rPr>
        <sz val="12"/>
        <color theme="1"/>
        <rFont val="Arial"/>
        <family val="2"/>
      </rPr>
      <t>kg</t>
    </r>
  </si>
  <si>
    <t>hwequ0</t>
  </si>
  <si>
    <t>bond0</t>
  </si>
  <si>
    <t>currency0</t>
  </si>
  <si>
    <t>nonmort0</t>
  </si>
  <si>
    <t>rental0</t>
  </si>
  <si>
    <t>ownerhome0</t>
  </si>
  <si>
    <t>ownermort0</t>
  </si>
  <si>
    <t>hwbus0</t>
  </si>
  <si>
    <t>hwpen0</t>
  </si>
  <si>
    <t>flemp0</t>
  </si>
  <si>
    <t>flmil0</t>
  </si>
  <si>
    <t>fkhoumain0</t>
  </si>
  <si>
    <t>fkhourent0</t>
  </si>
  <si>
    <t>fkequ0</t>
  </si>
  <si>
    <t>fkfix0</t>
  </si>
  <si>
    <t>fkbus0</t>
  </si>
  <si>
    <t>fkpen0</t>
  </si>
  <si>
    <t>fkmor0</t>
  </si>
  <si>
    <t>fknmo0</t>
  </si>
  <si>
    <t>gdpdeflator</t>
  </si>
  <si>
    <t>nideflator</t>
  </si>
  <si>
    <t>cpipiksaez</t>
  </si>
  <si>
    <t>pcedeflator</t>
  </si>
  <si>
    <t>totadults20</t>
  </si>
  <si>
    <t>adults65p</t>
  </si>
  <si>
    <t>population</t>
  </si>
  <si>
    <t>tottaxunits</t>
  </si>
  <si>
    <t>minwage</t>
  </si>
  <si>
    <t>paycap</t>
  </si>
  <si>
    <t>ssrate</t>
  </si>
  <si>
    <t>oarate</t>
  </si>
  <si>
    <t>dirate</t>
  </si>
  <si>
    <t>hirate</t>
  </si>
  <si>
    <t>stdyr_s</t>
  </si>
  <si>
    <t>stdyr_h</t>
  </si>
  <si>
    <t>stdyr_m</t>
  </si>
  <si>
    <t>snapded3</t>
  </si>
  <si>
    <t>snapded4</t>
  </si>
  <si>
    <t>snapded5</t>
  </si>
  <si>
    <t>snapded6</t>
  </si>
  <si>
    <t>snapdedkid</t>
  </si>
  <si>
    <t>povcut1</t>
  </si>
  <si>
    <t>povcut2</t>
  </si>
  <si>
    <t>povcut3</t>
  </si>
  <si>
    <t>povcut4</t>
  </si>
  <si>
    <t>povcut5</t>
  </si>
  <si>
    <t>povcut6</t>
  </si>
  <si>
    <t>povcut7</t>
  </si>
  <si>
    <t>povcut8</t>
  </si>
  <si>
    <t>povcutadd</t>
  </si>
  <si>
    <t>snapben1</t>
  </si>
  <si>
    <t>snapben2</t>
  </si>
  <si>
    <t>snapben3</t>
  </si>
  <si>
    <t>snapben4</t>
  </si>
  <si>
    <t>snapben5</t>
  </si>
  <si>
    <t>snapben6</t>
  </si>
  <si>
    <t>snapben7</t>
  </si>
  <si>
    <t>snapben8</t>
  </si>
  <si>
    <t>snapbenadd</t>
  </si>
  <si>
    <t>snapbenmin</t>
  </si>
  <si>
    <t>snapassn</t>
  </si>
  <si>
    <t>snapasse</t>
  </si>
  <si>
    <t>ssiress</t>
  </si>
  <si>
    <t>ssiresc</t>
  </si>
  <si>
    <t>ssicuts</t>
  </si>
  <si>
    <t>ssicutc</t>
  </si>
  <si>
    <t>snapparticip</t>
  </si>
  <si>
    <t>tthholds</t>
  </si>
  <si>
    <t>fracdistributed_c</t>
  </si>
  <si>
    <t>fracdistributed_s</t>
  </si>
  <si>
    <t>tomatch</t>
  </si>
  <si>
    <t>top400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</si>
</sst>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0.000000"/>
    <numFmt numFmtId="167" formatCode="0.00000"/>
    <numFmt numFmtId="168" formatCode="0.0%"/>
  </numFmts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  <charset val="128"/>
    </font>
    <font>
      <sz val="11"/>
      <name val="Calibri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8000"/>
        <bgColor rgb="FF000000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1" fillId="0" borderId="0"/>
    <xf numFmtId="0" fontId="4" fillId="0" borderId="0"/>
  </cellStyleXfs>
  <cellXfs count="27">
    <xf numFmtId="0" fontId="0" fillId="0" borderId="0" xfId="0"/>
    <xf numFmtId="0" fontId="2" fillId="0" borderId="0" xfId="2" applyFont="1" applyAlignment="1">
      <alignment horizontal="center" wrapText="1"/>
    </xf>
    <xf numFmtId="0" fontId="1" fillId="2" borderId="0" xfId="2" applyFill="1" applyAlignment="1">
      <alignment horizontal="center"/>
    </xf>
    <xf numFmtId="0" fontId="3" fillId="2" borderId="0" xfId="2" applyFont="1" applyFill="1" applyAlignment="1">
      <alignment horizontal="center"/>
    </xf>
    <xf numFmtId="0" fontId="1" fillId="3" borderId="0" xfId="2" applyFill="1" applyAlignment="1">
      <alignment horizontal="center"/>
    </xf>
    <xf numFmtId="0" fontId="3" fillId="3" borderId="0" xfId="2" applyFont="1" applyFill="1" applyAlignment="1">
      <alignment horizontal="center"/>
    </xf>
    <xf numFmtId="0" fontId="1" fillId="0" borderId="0" xfId="2" applyAlignment="1">
      <alignment horizontal="center"/>
    </xf>
    <xf numFmtId="0" fontId="2" fillId="4" borderId="0" xfId="3" applyFont="1" applyFill="1" applyAlignment="1">
      <alignment horizontal="center"/>
    </xf>
    <xf numFmtId="0" fontId="1" fillId="5" borderId="0" xfId="2" applyFill="1" applyAlignment="1">
      <alignment horizontal="center"/>
    </xf>
    <xf numFmtId="0" fontId="5" fillId="0" borderId="0" xfId="3" applyFont="1"/>
    <xf numFmtId="0" fontId="1" fillId="6" borderId="0" xfId="2" applyFill="1" applyAlignment="1">
      <alignment horizontal="center"/>
    </xf>
    <xf numFmtId="0" fontId="5" fillId="6" borderId="0" xfId="3" applyFont="1" applyFill="1" applyAlignment="1">
      <alignment horizontal="center"/>
    </xf>
    <xf numFmtId="0" fontId="2" fillId="0" borderId="0" xfId="2" applyFont="1" applyAlignment="1">
      <alignment horizontal="center"/>
    </xf>
    <xf numFmtId="164" fontId="1" fillId="0" borderId="0" xfId="2" applyNumberFormat="1" applyAlignment="1">
      <alignment horizontal="center"/>
    </xf>
    <xf numFmtId="1" fontId="1" fillId="0" borderId="0" xfId="2" applyNumberFormat="1" applyAlignment="1">
      <alignment horizontal="center"/>
    </xf>
    <xf numFmtId="2" fontId="1" fillId="0" borderId="0" xfId="2" applyNumberFormat="1" applyAlignment="1">
      <alignment horizontal="center"/>
    </xf>
    <xf numFmtId="165" fontId="1" fillId="0" borderId="0" xfId="2" applyNumberFormat="1" applyAlignment="1">
      <alignment horizontal="center"/>
    </xf>
    <xf numFmtId="0" fontId="5" fillId="0" borderId="0" xfId="3" applyFont="1" applyAlignment="1">
      <alignment horizontal="center"/>
    </xf>
    <xf numFmtId="166" fontId="1" fillId="0" borderId="0" xfId="2" applyNumberFormat="1" applyAlignment="1">
      <alignment horizontal="center"/>
    </xf>
    <xf numFmtId="167" fontId="1" fillId="0" borderId="0" xfId="2" applyNumberFormat="1" applyAlignment="1">
      <alignment horizontal="center"/>
    </xf>
    <xf numFmtId="1" fontId="5" fillId="0" borderId="0" xfId="3" applyNumberFormat="1" applyFont="1" applyAlignment="1">
      <alignment horizontal="center"/>
    </xf>
    <xf numFmtId="3" fontId="1" fillId="0" borderId="0" xfId="2" applyNumberFormat="1" applyAlignment="1">
      <alignment horizontal="center"/>
    </xf>
    <xf numFmtId="1" fontId="5" fillId="0" borderId="0" xfId="2" applyNumberFormat="1" applyFont="1" applyAlignment="1">
      <alignment horizontal="center"/>
    </xf>
    <xf numFmtId="167" fontId="6" fillId="0" borderId="0" xfId="2" applyNumberFormat="1" applyFont="1" applyAlignment="1">
      <alignment horizontal="center"/>
    </xf>
    <xf numFmtId="1" fontId="6" fillId="0" borderId="0" xfId="2" applyNumberFormat="1" applyFont="1" applyAlignment="1">
      <alignment horizontal="center"/>
    </xf>
    <xf numFmtId="0" fontId="4" fillId="0" borderId="0" xfId="3"/>
    <xf numFmtId="168" fontId="1" fillId="0" borderId="0" xfId="1" applyNumberFormat="1" applyFont="1" applyAlignment="1">
      <alignment horizontal="center"/>
    </xf>
  </cellXfs>
  <cellStyles count="4">
    <cellStyle name="Normal" xfId="0" builtinId="0"/>
    <cellStyle name="Normal 11 2 2" xfId="2" xr:uid="{22015612-0A63-E747-8629-C0AF55032E13}"/>
    <cellStyle name="Normal 16" xfId="3" xr:uid="{AE3E4193-DF23-4044-9CC0-7CA004378FA4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briel Zucman" id="{AB45DF18-126D-FE40-BFC5-5557F2C12B62}" userId="S::zucman@berkeley.edu::7fa3b0bc-bf52-426c-8906-b77895a906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R1" dT="2022-03-09T01:37:46.42" personId="{AB45DF18-126D-FE40-BFC5-5557F2C12B62}" id="{300D6869-6410-D947-8F01-95D4187B1A22}">
    <text>Since 2007: from FRED https://fred.stlouisfed.org/series/SPPOP65UPTOZSUSA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A5B2-EE81-8B4E-854A-26168B72EA3F}">
  <sheetPr>
    <tabColor theme="1"/>
  </sheetPr>
  <dimension ref="A1:GM119"/>
  <sheetViews>
    <sheetView tabSelected="1" zoomScale="150" zoomScaleNormal="150" zoomScalePageLayoutView="150" workbookViewId="0">
      <pane xSplit="1" ySplit="1" topLeftCell="B8" activePane="bottomRight" state="frozen"/>
      <selection activeCell="N134" sqref="N134"/>
      <selection pane="topRight" activeCell="N134" sqref="N134"/>
      <selection pane="bottomLeft" activeCell="N134" sqref="N134"/>
      <selection pane="bottomRight" activeCell="J19" sqref="J19"/>
    </sheetView>
  </sheetViews>
  <sheetFormatPr baseColWidth="10" defaultColWidth="10.796875" defaultRowHeight="15.6"/>
  <cols>
    <col min="1" max="2" width="10.796875" style="6"/>
    <col min="3" max="3" width="15.19921875" style="6" customWidth="1"/>
    <col min="4" max="4" width="13.19921875" style="6" bestFit="1" customWidth="1"/>
    <col min="5" max="5" width="13" style="6" bestFit="1" customWidth="1"/>
    <col min="6" max="7" width="14" style="6" customWidth="1"/>
    <col min="8" max="8" width="13" style="6" customWidth="1"/>
    <col min="9" max="9" width="13" style="6" bestFit="1" customWidth="1"/>
    <col min="10" max="11" width="14.796875" style="6" customWidth="1"/>
    <col min="12" max="13" width="13" style="6" bestFit="1" customWidth="1"/>
    <col min="14" max="14" width="15.296875" style="6" customWidth="1"/>
    <col min="15" max="15" width="12.69921875" style="6" customWidth="1"/>
    <col min="16" max="17" width="13" style="6" bestFit="1" customWidth="1"/>
    <col min="18" max="18" width="13.19921875" style="6" bestFit="1" customWidth="1"/>
    <col min="19" max="19" width="12.796875" style="6" customWidth="1"/>
    <col min="20" max="20" width="12.5" style="6" bestFit="1" customWidth="1"/>
    <col min="21" max="21" width="12" style="6" customWidth="1"/>
    <col min="22" max="26" width="11.19921875" style="6" bestFit="1" customWidth="1"/>
    <col min="27" max="27" width="13.296875" style="6" bestFit="1" customWidth="1"/>
    <col min="28" max="29" width="11.796875" style="6" customWidth="1"/>
    <col min="30" max="30" width="11.19921875" style="25" bestFit="1" customWidth="1"/>
    <col min="31" max="31" width="11.19921875" style="25" customWidth="1"/>
    <col min="32" max="33" width="11.19921875" style="25" bestFit="1" customWidth="1"/>
    <col min="34" max="35" width="11.796875" style="25" bestFit="1" customWidth="1"/>
    <col min="36" max="36" width="12" style="25" customWidth="1"/>
    <col min="37" max="37" width="11.19921875" style="25" bestFit="1" customWidth="1"/>
    <col min="38" max="38" width="11.796875" style="25" bestFit="1" customWidth="1"/>
    <col min="39" max="40" width="11.796875" style="25" customWidth="1"/>
    <col min="41" max="41" width="11.19921875" style="25" bestFit="1" customWidth="1"/>
    <col min="42" max="42" width="11.19921875" style="6" bestFit="1" customWidth="1"/>
    <col min="43" max="44" width="11.19921875" style="6" customWidth="1"/>
    <col min="45" max="47" width="12.796875" style="6" customWidth="1"/>
    <col min="48" max="49" width="11.296875" style="6" bestFit="1" customWidth="1"/>
    <col min="50" max="50" width="12.69921875" style="6" bestFit="1" customWidth="1"/>
    <col min="51" max="51" width="12.69921875" style="6" customWidth="1"/>
    <col min="52" max="54" width="11.796875" style="6" customWidth="1"/>
    <col min="55" max="55" width="11.19921875" style="6" bestFit="1" customWidth="1"/>
    <col min="56" max="56" width="11.19921875" style="6" customWidth="1"/>
    <col min="57" max="57" width="11.296875" style="6" customWidth="1"/>
    <col min="58" max="58" width="13" style="6" customWidth="1"/>
    <col min="59" max="59" width="11.796875" style="6" bestFit="1" customWidth="1"/>
    <col min="60" max="60" width="12.19921875" style="6" customWidth="1"/>
    <col min="61" max="66" width="11.19921875" style="6" bestFit="1" customWidth="1"/>
    <col min="67" max="67" width="13" style="6" bestFit="1" customWidth="1"/>
    <col min="68" max="68" width="11.796875" style="6" bestFit="1" customWidth="1"/>
    <col min="69" max="70" width="11.69921875" style="6" bestFit="1" customWidth="1"/>
    <col min="71" max="71" width="11.19921875" style="6" bestFit="1" customWidth="1"/>
    <col min="72" max="72" width="11.69921875" style="6" customWidth="1"/>
    <col min="73" max="77" width="11.19921875" style="6" bestFit="1" customWidth="1"/>
    <col min="78" max="78" width="11.5" style="6" customWidth="1"/>
    <col min="79" max="80" width="11.19921875" style="6" bestFit="1" customWidth="1"/>
    <col min="81" max="81" width="12.19921875" style="6" customWidth="1"/>
    <col min="82" max="82" width="11.19921875" style="6" bestFit="1" customWidth="1"/>
    <col min="83" max="83" width="8.69921875" style="6" customWidth="1"/>
    <col min="84" max="84" width="11.19921875" style="6" bestFit="1" customWidth="1"/>
    <col min="85" max="85" width="11.796875" style="6" bestFit="1" customWidth="1"/>
    <col min="86" max="86" width="11.69921875" style="6" bestFit="1" customWidth="1"/>
    <col min="87" max="87" width="12" style="6" customWidth="1"/>
    <col min="88" max="89" width="11.19921875" style="6" bestFit="1" customWidth="1"/>
    <col min="90" max="91" width="11.796875" style="6" bestFit="1" customWidth="1"/>
    <col min="92" max="92" width="12.296875" style="6" bestFit="1" customWidth="1"/>
    <col min="93" max="93" width="11.296875" style="6" bestFit="1" customWidth="1"/>
    <col min="94" max="95" width="11.19921875" style="6" bestFit="1" customWidth="1"/>
    <col min="96" max="98" width="12" style="6" customWidth="1"/>
    <col min="99" max="99" width="11.19921875" style="6" bestFit="1" customWidth="1"/>
    <col min="100" max="100" width="12.296875" style="6" customWidth="1"/>
    <col min="101" max="101" width="11.796875" style="6" bestFit="1" customWidth="1"/>
    <col min="102" max="104" width="11.19921875" style="6" bestFit="1" customWidth="1"/>
    <col min="105" max="111" width="10.796875" style="6"/>
    <col min="112" max="112" width="11.19921875" style="6" bestFit="1" customWidth="1"/>
    <col min="113" max="113" width="13" style="6" bestFit="1" customWidth="1"/>
    <col min="114" max="114" width="12.796875" style="6" bestFit="1" customWidth="1"/>
    <col min="115" max="115" width="13" style="6" bestFit="1" customWidth="1"/>
    <col min="116" max="116" width="10.796875" style="6"/>
    <col min="117" max="117" width="12.796875" style="6" bestFit="1" customWidth="1"/>
    <col min="118" max="118" width="13" style="6" customWidth="1"/>
    <col min="119" max="119" width="11.796875" style="6" bestFit="1" customWidth="1"/>
    <col min="120" max="122" width="11.19921875" style="6" bestFit="1" customWidth="1"/>
    <col min="123" max="123" width="13" style="6" bestFit="1" customWidth="1"/>
    <col min="124" max="132" width="10.796875" style="6"/>
    <col min="133" max="133" width="14" style="6" bestFit="1" customWidth="1"/>
    <col min="134" max="137" width="10.796875" style="6"/>
    <col min="138" max="138" width="13" style="6" bestFit="1" customWidth="1"/>
    <col min="139" max="159" width="10.796875" style="6"/>
    <col min="160" max="190" width="10.796875" style="17"/>
    <col min="191" max="16384" width="10.796875" style="6"/>
  </cols>
  <sheetData>
    <row r="1" spans="1:195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6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6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8" t="s">
        <v>141</v>
      </c>
      <c r="EM1" s="8" t="s">
        <v>142</v>
      </c>
      <c r="EN1" s="8" t="s">
        <v>143</v>
      </c>
      <c r="EO1" s="8" t="s">
        <v>144</v>
      </c>
      <c r="EP1" s="8" t="s">
        <v>145</v>
      </c>
      <c r="EQ1" s="8" t="s">
        <v>146</v>
      </c>
      <c r="ER1" s="8" t="s">
        <v>147</v>
      </c>
      <c r="ES1" s="9" t="s">
        <v>148</v>
      </c>
      <c r="ET1" s="8" t="s">
        <v>149</v>
      </c>
      <c r="EU1" s="8" t="s">
        <v>150</v>
      </c>
      <c r="EV1" s="10" t="s">
        <v>151</v>
      </c>
      <c r="EW1" s="10" t="s">
        <v>152</v>
      </c>
      <c r="EX1" s="10" t="s">
        <v>153</v>
      </c>
      <c r="EY1" s="10" t="s">
        <v>154</v>
      </c>
      <c r="EZ1" s="10" t="s">
        <v>155</v>
      </c>
      <c r="FA1" s="11" t="s">
        <v>156</v>
      </c>
      <c r="FB1" s="11" t="s">
        <v>157</v>
      </c>
      <c r="FC1" s="11" t="s">
        <v>158</v>
      </c>
      <c r="FD1" s="11" t="s">
        <v>159</v>
      </c>
      <c r="FE1" s="11" t="s">
        <v>160</v>
      </c>
      <c r="FF1" s="11" t="s">
        <v>161</v>
      </c>
      <c r="FG1" s="11" t="s">
        <v>162</v>
      </c>
      <c r="FH1" s="11" t="s">
        <v>163</v>
      </c>
      <c r="FI1" s="11" t="s">
        <v>164</v>
      </c>
      <c r="FJ1" s="11" t="s">
        <v>165</v>
      </c>
      <c r="FK1" s="11" t="s">
        <v>166</v>
      </c>
      <c r="FL1" s="11" t="s">
        <v>167</v>
      </c>
      <c r="FM1" s="11" t="s">
        <v>168</v>
      </c>
      <c r="FN1" s="11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  <c r="FS1" s="11" t="s">
        <v>174</v>
      </c>
      <c r="FT1" s="11" t="s">
        <v>175</v>
      </c>
      <c r="FU1" s="11" t="s">
        <v>176</v>
      </c>
      <c r="FV1" s="11" t="s">
        <v>177</v>
      </c>
      <c r="FW1" s="11" t="s">
        <v>178</v>
      </c>
      <c r="FX1" s="11" t="s">
        <v>179</v>
      </c>
      <c r="FY1" s="11" t="s">
        <v>180</v>
      </c>
      <c r="FZ1" s="11" t="s">
        <v>181</v>
      </c>
      <c r="GA1" s="11" t="s">
        <v>182</v>
      </c>
      <c r="GB1" s="11" t="s">
        <v>183</v>
      </c>
      <c r="GC1" s="11" t="s">
        <v>184</v>
      </c>
      <c r="GD1" s="11" t="s">
        <v>185</v>
      </c>
      <c r="GE1" s="11" t="s">
        <v>186</v>
      </c>
      <c r="GF1" s="11" t="s">
        <v>187</v>
      </c>
      <c r="GG1" s="11" t="s">
        <v>188</v>
      </c>
      <c r="GH1" s="11" t="s">
        <v>189</v>
      </c>
      <c r="GI1" s="6" t="s">
        <v>190</v>
      </c>
      <c r="GJ1" s="6" t="s">
        <v>191</v>
      </c>
      <c r="GK1" s="6" t="s">
        <v>192</v>
      </c>
      <c r="GL1" s="6" t="s">
        <v>193</v>
      </c>
      <c r="GM1" s="6" t="s">
        <v>194</v>
      </c>
    </row>
    <row r="2" spans="1:195" ht="15">
      <c r="A2" s="12">
        <v>1910</v>
      </c>
      <c r="B2" s="13"/>
      <c r="C2" s="14"/>
      <c r="D2" s="15"/>
      <c r="E2" s="14"/>
      <c r="F2" s="14"/>
      <c r="G2" s="14"/>
      <c r="H2" s="14"/>
      <c r="I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Q2" s="14"/>
      <c r="ER2" s="14"/>
      <c r="ES2" s="9"/>
      <c r="ET2" s="14"/>
      <c r="EU2" s="14"/>
      <c r="EX2" s="16"/>
      <c r="EY2" s="16"/>
      <c r="FA2" s="17"/>
      <c r="FB2" s="17"/>
      <c r="FC2" s="17"/>
    </row>
    <row r="3" spans="1:195" ht="15">
      <c r="A3" s="12">
        <v>1911</v>
      </c>
      <c r="B3" s="13"/>
      <c r="C3" s="14"/>
      <c r="D3" s="15"/>
      <c r="E3" s="14"/>
      <c r="F3" s="14"/>
      <c r="G3" s="14"/>
      <c r="H3" s="14"/>
      <c r="I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Q3" s="14"/>
      <c r="ER3" s="14"/>
      <c r="ES3" s="9"/>
      <c r="ET3" s="14"/>
      <c r="EU3" s="14"/>
      <c r="EX3" s="16"/>
      <c r="EY3" s="16"/>
      <c r="FA3" s="17"/>
      <c r="FB3" s="17"/>
      <c r="FC3" s="17"/>
    </row>
    <row r="4" spans="1:195" ht="15">
      <c r="A4" s="12">
        <v>1912</v>
      </c>
      <c r="B4" s="13"/>
      <c r="C4" s="14"/>
      <c r="D4" s="15"/>
      <c r="E4" s="14"/>
      <c r="F4" s="14"/>
      <c r="G4" s="14"/>
      <c r="H4" s="14"/>
      <c r="I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Q4" s="14"/>
      <c r="ER4" s="14"/>
      <c r="ES4" s="9"/>
      <c r="ET4" s="14"/>
      <c r="EU4" s="14"/>
      <c r="EX4" s="16"/>
      <c r="EY4" s="16"/>
      <c r="FA4" s="17"/>
      <c r="FB4" s="17"/>
      <c r="FC4" s="17"/>
    </row>
    <row r="5" spans="1:195" ht="15">
      <c r="A5" s="12">
        <v>1913</v>
      </c>
      <c r="B5" s="13"/>
      <c r="C5" s="15">
        <f t="shared" ref="C5:C68" si="0">D5+E5+F5+G5+H5+I5+L5+M5+N5+P5+Q5+R5+T5+U5</f>
        <v>158583.2750332586</v>
      </c>
      <c r="D5" s="15">
        <v>38595.020324865742</v>
      </c>
      <c r="E5" s="15">
        <v>830.45438936736548</v>
      </c>
      <c r="F5" s="15">
        <v>23560.087917173234</v>
      </c>
      <c r="G5" s="15">
        <v>0</v>
      </c>
      <c r="H5" s="15">
        <v>1162.0221680973061</v>
      </c>
      <c r="I5" s="15">
        <v>62149.275448662775</v>
      </c>
      <c r="L5" s="15">
        <v>0</v>
      </c>
      <c r="M5" s="15">
        <v>10786.851247102788</v>
      </c>
      <c r="N5" s="15">
        <v>-4017.1428536167869</v>
      </c>
      <c r="O5" s="15">
        <v>-2004.7917730601098</v>
      </c>
      <c r="P5" s="15">
        <v>21161.088204776737</v>
      </c>
      <c r="Q5" s="15">
        <v>0</v>
      </c>
      <c r="R5" s="15">
        <v>3948.1930941911501</v>
      </c>
      <c r="S5" s="15">
        <v>2.7377936109755571E-2</v>
      </c>
      <c r="T5" s="15">
        <v>-3761.4883228898511</v>
      </c>
      <c r="U5" s="15">
        <v>4168.9134155281354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33896.750776515953</v>
      </c>
      <c r="AB5" s="15">
        <v>20.331910151237761</v>
      </c>
      <c r="AC5" s="15">
        <v>1897.037755470697</v>
      </c>
      <c r="AD5" s="15">
        <v>201.38748741294859</v>
      </c>
      <c r="AE5" s="15">
        <v>0</v>
      </c>
      <c r="AF5" s="15">
        <v>698.99663673786324</v>
      </c>
      <c r="AG5" s="15">
        <v>910.50246143756158</v>
      </c>
      <c r="AH5" s="15">
        <v>9534.9624074497769</v>
      </c>
      <c r="AI5" s="15">
        <v>3297.0727792284888</v>
      </c>
      <c r="AJ5" s="15">
        <v>2078.9340729212954</v>
      </c>
      <c r="AK5" s="15">
        <v>1218.1387063071941</v>
      </c>
      <c r="AL5" s="15">
        <f t="shared" ref="AL5:AL68" si="1">AM5+AN5</f>
        <v>2654.9174935550459</v>
      </c>
      <c r="AM5" s="15">
        <v>2654.9174935550459</v>
      </c>
      <c r="AN5" s="15">
        <v>0</v>
      </c>
      <c r="AO5" s="15">
        <v>1725.1456858063743</v>
      </c>
      <c r="AP5" s="15">
        <v>2065.1767096026128</v>
      </c>
      <c r="AQ5" s="15"/>
      <c r="AR5" s="15"/>
      <c r="AS5" s="15">
        <v>230.32939151409539</v>
      </c>
      <c r="AT5" s="15">
        <v>7.4356483951058028</v>
      </c>
      <c r="AU5" s="15">
        <f t="shared" ref="AU5:AU68" si="2">AS5-AT5</f>
        <v>222.89374311898959</v>
      </c>
      <c r="AV5" s="15">
        <v>-406.21084337349396</v>
      </c>
      <c r="AW5" s="15">
        <v>-232.85629629629625</v>
      </c>
      <c r="AX5" s="15">
        <v>24361.788369066173</v>
      </c>
      <c r="AY5" s="15">
        <v>18051.637557834329</v>
      </c>
      <c r="AZ5" s="15">
        <v>5691.1132664120914</v>
      </c>
      <c r="BA5" s="15"/>
      <c r="BB5" s="15"/>
      <c r="BC5" s="15">
        <v>619.03754481975318</v>
      </c>
      <c r="BD5" s="15">
        <v>0</v>
      </c>
      <c r="BE5" s="15">
        <f t="shared" ref="BE5:BE68" si="3">BC5+AD5</f>
        <v>820.42503223270182</v>
      </c>
      <c r="BF5" s="15">
        <v>17732.798332373055</v>
      </c>
      <c r="BG5" s="15">
        <v>318.83922546127508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33642.146937841811</v>
      </c>
      <c r="BP5" s="15">
        <v>253.72619300698602</v>
      </c>
      <c r="BQ5" s="15">
        <v>0.87764566715723458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200.04391631273757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39.793682277265006</v>
      </c>
      <c r="CG5" s="15">
        <v>39.793682277265006</v>
      </c>
      <c r="CH5" s="15">
        <v>2436.1003492162481</v>
      </c>
      <c r="CI5" s="15"/>
      <c r="CJ5" s="15">
        <v>0</v>
      </c>
      <c r="CK5" s="15">
        <v>132.70761836194743</v>
      </c>
      <c r="CL5" s="15">
        <v>2647.4319437350018</v>
      </c>
      <c r="CM5" s="15">
        <v>2675.9379478062506</v>
      </c>
      <c r="CN5" s="15">
        <v>-27.901117315662528</v>
      </c>
      <c r="CO5" s="15">
        <v>0</v>
      </c>
      <c r="CP5" s="15">
        <v>253.72619300698602</v>
      </c>
      <c r="CQ5" s="15">
        <v>0</v>
      </c>
      <c r="CR5" s="15">
        <v>253.72619300698602</v>
      </c>
      <c r="CS5" s="15">
        <v>241.03988335663669</v>
      </c>
      <c r="CT5" s="15">
        <v>12.686309650349312</v>
      </c>
      <c r="CU5" s="15">
        <v>0</v>
      </c>
      <c r="CV5" s="15">
        <v>0</v>
      </c>
      <c r="CW5" s="15">
        <v>0</v>
      </c>
      <c r="CX5" s="15">
        <v>197.17590317563736</v>
      </c>
      <c r="CY5" s="15">
        <v>0</v>
      </c>
      <c r="CZ5" s="15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5">
        <v>0</v>
      </c>
      <c r="DI5" s="15">
        <v>33670.652941913053</v>
      </c>
      <c r="DJ5" s="15">
        <v>31234.552592696808</v>
      </c>
      <c r="DK5" s="15">
        <v>33764.043158154003</v>
      </c>
      <c r="DL5" s="18">
        <v>6.1977524362610635E-2</v>
      </c>
      <c r="DM5" s="15">
        <v>27630.889464312328</v>
      </c>
      <c r="DN5" s="15">
        <v>18924.22138840799</v>
      </c>
      <c r="DO5" s="15">
        <v>5078.5468326027112</v>
      </c>
      <c r="DP5" s="15">
        <v>1200.7566970703824</v>
      </c>
      <c r="DQ5" s="15">
        <v>1597.1376209424427</v>
      </c>
      <c r="DR5" s="15">
        <v>830.226925288801</v>
      </c>
      <c r="DS5" s="15">
        <v>27630.889464312328</v>
      </c>
      <c r="DT5" s="18">
        <f t="shared" ref="DT5:DT68" si="4">(D5+L5)/$C5</f>
        <v>0.24337383823591402</v>
      </c>
      <c r="DU5" s="18">
        <f t="shared" ref="DU5:DU68" si="5">(E5+F5+G5+H5)/$C5</f>
        <v>0.16113026086312657</v>
      </c>
      <c r="DV5" s="18">
        <f t="shared" ref="DV5:DV68" si="6">U5/$C5</f>
        <v>2.6288481018277729E-2</v>
      </c>
      <c r="DW5" s="18">
        <f t="shared" ref="DW5:DW68" si="7">T5/$C5</f>
        <v>-2.3719325522196331E-2</v>
      </c>
      <c r="DX5" s="18">
        <f t="shared" ref="DX5:DX68" si="8">M5/$C5</f>
        <v>6.8020106438339945E-2</v>
      </c>
      <c r="DY5" s="18">
        <f t="shared" ref="DY5:DY68" si="9">P5/$C5</f>
        <v>0.13343833516074607</v>
      </c>
      <c r="DZ5" s="18">
        <f t="shared" ref="DZ5:DZ68" si="10">N5/$C5</f>
        <v>-2.5331440864582336E-2</v>
      </c>
      <c r="EA5" s="18">
        <f t="shared" ref="EA5:EA68" si="11">I5/$C5</f>
        <v>0.39190308962675052</v>
      </c>
      <c r="EB5" s="18">
        <f t="shared" ref="EB5:EB68" si="12">(Q5+R5)/$C5</f>
        <v>2.4896655043623751E-2</v>
      </c>
      <c r="EC5" s="18">
        <f t="shared" ref="EC5:EC68" si="13">(AY5+BC5*AY5/(AY5+AZ5))/DK5</f>
        <v>0.54858040386079343</v>
      </c>
      <c r="ED5" s="18">
        <f t="shared" ref="ED5:ED68" si="14">(AZ5+BC5*AZ5/(AY5+AZ5))/DK5</f>
        <v>0.17295013840730014</v>
      </c>
      <c r="EE5" s="18">
        <f t="shared" ref="EE5:EE68" si="15">AJ5/DK5</f>
        <v>6.1572426713926695E-2</v>
      </c>
      <c r="EF5" s="18">
        <f t="shared" ref="EF5:EF68" si="16">AK5/DK5</f>
        <v>3.607798688685819E-2</v>
      </c>
      <c r="EG5" s="18">
        <f t="shared" ref="EG5:EG68" si="17">AL5/DK5</f>
        <v>7.8631503967672323E-2</v>
      </c>
      <c r="EH5" s="18">
        <f t="shared" ref="EH5:EH68" si="18">(AO5-CK5+CJ5)/DK5</f>
        <v>4.7163725623299763E-2</v>
      </c>
      <c r="EI5" s="18">
        <f t="shared" ref="EI5:EI68" si="19">AP5/DK5</f>
        <v>6.1164970673954176E-2</v>
      </c>
      <c r="EJ5" s="18">
        <f t="shared" ref="EJ5:EJ68" si="20">AS5/DK5</f>
        <v>6.8217360828266484E-3</v>
      </c>
      <c r="EK5" s="18">
        <f t="shared" ref="EK5:EK68" si="21">AV5/DK5</f>
        <v>-1.2030870872625164E-2</v>
      </c>
      <c r="EL5" s="18">
        <f t="shared" ref="EL5:EL68" si="22">AW5/DK5</f>
        <v>-6.8965761951427177E-3</v>
      </c>
      <c r="EM5" s="6">
        <v>20.369841995299023</v>
      </c>
      <c r="EN5" s="6">
        <v>20.812566492687882</v>
      </c>
      <c r="EO5" s="6">
        <v>23.235788959246914</v>
      </c>
      <c r="EP5" s="6">
        <v>20.240507893153843</v>
      </c>
      <c r="EQ5" s="14">
        <v>56687.221959260707</v>
      </c>
      <c r="ER5" s="14"/>
      <c r="ES5" s="15">
        <v>97225</v>
      </c>
      <c r="ET5" s="15">
        <v>37700.727969294756</v>
      </c>
      <c r="EU5" s="14">
        <v>0</v>
      </c>
      <c r="EX5" s="16"/>
      <c r="EY5" s="16"/>
      <c r="FA5" s="17"/>
      <c r="FB5" s="17"/>
      <c r="FC5" s="17"/>
      <c r="GJ5" s="6">
        <v>0.5767481385740455</v>
      </c>
    </row>
    <row r="6" spans="1:195" ht="15">
      <c r="A6" s="12">
        <v>1914</v>
      </c>
      <c r="B6" s="13"/>
      <c r="C6" s="15">
        <f t="shared" si="0"/>
        <v>164450.80892882528</v>
      </c>
      <c r="D6" s="15">
        <v>37287.333113946195</v>
      </c>
      <c r="E6" s="15">
        <v>999.93487699335833</v>
      </c>
      <c r="F6" s="15">
        <v>26038.883098283983</v>
      </c>
      <c r="G6" s="15">
        <v>0</v>
      </c>
      <c r="H6" s="15">
        <v>1284.2804109676097</v>
      </c>
      <c r="I6" s="15">
        <v>62507.549865741574</v>
      </c>
      <c r="L6" s="15">
        <v>0</v>
      </c>
      <c r="M6" s="15">
        <v>12085.724393931399</v>
      </c>
      <c r="N6" s="15">
        <v>-4429.9717634746385</v>
      </c>
      <c r="O6" s="15">
        <v>-2210.8178050741922</v>
      </c>
      <c r="P6" s="15">
        <v>23650.627993573999</v>
      </c>
      <c r="Q6" s="15">
        <v>0</v>
      </c>
      <c r="R6" s="15">
        <v>4391.2368913518576</v>
      </c>
      <c r="S6" s="15">
        <v>2.7205190596430083E-2</v>
      </c>
      <c r="T6" s="15">
        <v>-4210.1061962620361</v>
      </c>
      <c r="U6" s="15">
        <v>4845.3162437719939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31746.65260360578</v>
      </c>
      <c r="AB6" s="15">
        <v>18.155655013883056</v>
      </c>
      <c r="AC6" s="15">
        <v>1824.0370123954435</v>
      </c>
      <c r="AD6" s="15">
        <v>120.42798946428724</v>
      </c>
      <c r="AE6" s="15">
        <v>0</v>
      </c>
      <c r="AF6" s="15">
        <v>776.66292970873701</v>
      </c>
      <c r="AG6" s="15">
        <v>1011.6694015972905</v>
      </c>
      <c r="AH6" s="15">
        <v>9199.9952805265857</v>
      </c>
      <c r="AI6" s="15">
        <v>3341.8508430858892</v>
      </c>
      <c r="AJ6" s="15">
        <v>2107.1684034641526</v>
      </c>
      <c r="AK6" s="15">
        <v>1234.6824396217364</v>
      </c>
      <c r="AL6" s="15">
        <f t="shared" si="1"/>
        <v>2557.7569316606632</v>
      </c>
      <c r="AM6" s="15">
        <v>2557.7569316606632</v>
      </c>
      <c r="AN6" s="15">
        <v>0</v>
      </c>
      <c r="AO6" s="15">
        <v>1654.3820132880387</v>
      </c>
      <c r="AP6" s="15">
        <v>2010.8580725420165</v>
      </c>
      <c r="AQ6" s="15"/>
      <c r="AR6" s="15"/>
      <c r="AS6" s="15">
        <v>221.26324128444128</v>
      </c>
      <c r="AT6" s="15">
        <v>8.1947665665472762</v>
      </c>
      <c r="AU6" s="15">
        <f t="shared" si="2"/>
        <v>213.06847471789399</v>
      </c>
      <c r="AV6" s="15">
        <v>-445.91566265060231</v>
      </c>
      <c r="AW6" s="15">
        <v>-260.62814814814811</v>
      </c>
      <c r="AX6" s="15">
        <v>22546.657323079195</v>
      </c>
      <c r="AY6" s="15">
        <v>16708.198189769006</v>
      </c>
      <c r="AZ6" s="15">
        <v>5472.1110371863306</v>
      </c>
      <c r="BA6" s="15"/>
      <c r="BB6" s="15"/>
      <c r="BC6" s="15">
        <v>366.34809612385527</v>
      </c>
      <c r="BD6" s="15">
        <v>0</v>
      </c>
      <c r="BE6" s="15">
        <f t="shared" si="3"/>
        <v>486.77608558814251</v>
      </c>
      <c r="BF6" s="15">
        <v>16413.087624170075</v>
      </c>
      <c r="BG6" s="15">
        <v>295.11056559893234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31509.535114684575</v>
      </c>
      <c r="BP6" s="15">
        <v>234.84337668060741</v>
      </c>
      <c r="BQ6" s="15">
        <v>2.2741122405989236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187.29868643065024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37.258340849107846</v>
      </c>
      <c r="CG6" s="15">
        <v>37.258340849107846</v>
      </c>
      <c r="CH6" s="15">
        <v>2298.4732546973855</v>
      </c>
      <c r="CI6" s="15"/>
      <c r="CJ6" s="15">
        <v>0</v>
      </c>
      <c r="CK6" s="15">
        <v>133.78954495870829</v>
      </c>
      <c r="CL6" s="15">
        <v>2505.877472511741</v>
      </c>
      <c r="CM6" s="15">
        <v>2523.0302819771432</v>
      </c>
      <c r="CN6" s="15">
        <v>-16.586461351204118</v>
      </c>
      <c r="CO6" s="15">
        <v>0</v>
      </c>
      <c r="CP6" s="15">
        <v>234.84337668060741</v>
      </c>
      <c r="CQ6" s="15">
        <v>0</v>
      </c>
      <c r="CR6" s="15">
        <v>234.84337668060741</v>
      </c>
      <c r="CS6" s="15">
        <v>223.10120784657704</v>
      </c>
      <c r="CT6" s="15">
        <v>11.74216883403038</v>
      </c>
      <c r="CU6" s="15">
        <v>0</v>
      </c>
      <c r="CV6" s="15">
        <v>0</v>
      </c>
      <c r="CW6" s="15">
        <v>28</v>
      </c>
      <c r="CX6" s="15">
        <v>184.61340060368747</v>
      </c>
      <c r="CY6" s="15">
        <v>0</v>
      </c>
      <c r="CZ6" s="15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5">
        <v>0</v>
      </c>
      <c r="DI6" s="15">
        <v>31526.687924149974</v>
      </c>
      <c r="DJ6" s="15">
        <v>29228.214669452591</v>
      </c>
      <c r="DK6" s="15">
        <v>31612.863058647072</v>
      </c>
      <c r="DL6" s="18">
        <v>6.5889388334583313E-2</v>
      </c>
      <c r="DM6" s="15">
        <v>27948.16142199462</v>
      </c>
      <c r="DN6" s="15">
        <v>19392.783706428083</v>
      </c>
      <c r="DO6" s="15">
        <v>5136.8612961252184</v>
      </c>
      <c r="DP6" s="15">
        <v>1151.0822864388697</v>
      </c>
      <c r="DQ6" s="15">
        <v>1410.8305388087483</v>
      </c>
      <c r="DR6" s="15">
        <v>856.60359419369775</v>
      </c>
      <c r="DS6" s="15">
        <v>27948.16142199462</v>
      </c>
      <c r="DT6" s="18">
        <f t="shared" si="4"/>
        <v>0.22673852051457069</v>
      </c>
      <c r="DU6" s="18">
        <f t="shared" si="5"/>
        <v>0.17222839200811263</v>
      </c>
      <c r="DV6" s="18">
        <f t="shared" si="6"/>
        <v>2.9463620612952161E-2</v>
      </c>
      <c r="DW6" s="18">
        <f t="shared" si="7"/>
        <v>-2.5601006305078014E-2</v>
      </c>
      <c r="DX6" s="18">
        <f t="shared" si="8"/>
        <v>7.3491425628451179E-2</v>
      </c>
      <c r="DY6" s="18">
        <f t="shared" si="9"/>
        <v>0.14381582035154383</v>
      </c>
      <c r="DZ6" s="18">
        <f t="shared" si="10"/>
        <v>-2.6937974901612927E-2</v>
      </c>
      <c r="EA6" s="18">
        <f t="shared" si="11"/>
        <v>0.38009876797136943</v>
      </c>
      <c r="EB6" s="18">
        <f t="shared" si="12"/>
        <v>2.6702434119691049E-2</v>
      </c>
      <c r="EC6" s="18">
        <f t="shared" si="13"/>
        <v>0.53725486365578834</v>
      </c>
      <c r="ED6" s="18">
        <f t="shared" si="14"/>
        <v>0.17595663133760811</v>
      </c>
      <c r="EE6" s="18">
        <f t="shared" si="15"/>
        <v>6.6655411740309881E-2</v>
      </c>
      <c r="EF6" s="18">
        <f t="shared" si="16"/>
        <v>3.9056330878073177E-2</v>
      </c>
      <c r="EG6" s="18">
        <f t="shared" si="17"/>
        <v>8.090874043630919E-2</v>
      </c>
      <c r="EH6" s="18">
        <f t="shared" si="18"/>
        <v>4.8100435114288152E-2</v>
      </c>
      <c r="EI6" s="18">
        <f t="shared" si="19"/>
        <v>6.3608856585104082E-2</v>
      </c>
      <c r="EJ6" s="18">
        <f t="shared" si="20"/>
        <v>6.9991522398322953E-3</v>
      </c>
      <c r="EK6" s="18">
        <f t="shared" si="21"/>
        <v>-1.4105513373570602E-2</v>
      </c>
      <c r="EL6" s="18">
        <f t="shared" si="22"/>
        <v>-8.2443702636056694E-3</v>
      </c>
      <c r="EM6" s="6">
        <v>20.106542040013139</v>
      </c>
      <c r="EN6" s="6">
        <v>20.543543894074997</v>
      </c>
      <c r="EO6" s="6">
        <v>22.927007710619048</v>
      </c>
      <c r="EP6" s="6">
        <v>19.978879706520832</v>
      </c>
      <c r="EQ6" s="14">
        <v>57986.012442910025</v>
      </c>
      <c r="ER6" s="14"/>
      <c r="ES6" s="15">
        <v>99111</v>
      </c>
      <c r="ET6" s="15">
        <v>38513.304544443956</v>
      </c>
      <c r="EU6" s="14">
        <v>0</v>
      </c>
      <c r="EX6" s="16"/>
      <c r="EY6" s="16"/>
      <c r="FA6" s="17"/>
      <c r="FB6" s="17"/>
      <c r="FC6" s="17"/>
      <c r="GJ6" s="6">
        <v>0.52861063667668906</v>
      </c>
    </row>
    <row r="7" spans="1:195" ht="15">
      <c r="A7" s="12">
        <v>1915</v>
      </c>
      <c r="B7" s="13"/>
      <c r="C7" s="15">
        <f t="shared" si="0"/>
        <v>182917.2449871673</v>
      </c>
      <c r="D7" s="15">
        <v>44503.708669070453</v>
      </c>
      <c r="E7" s="15">
        <v>1169.4153646193515</v>
      </c>
      <c r="F7" s="15">
        <v>28863.712048814872</v>
      </c>
      <c r="G7" s="15">
        <v>0</v>
      </c>
      <c r="H7" s="15">
        <v>1423.6056067453078</v>
      </c>
      <c r="I7" s="15">
        <v>66243.318049019595</v>
      </c>
      <c r="L7" s="15">
        <v>0</v>
      </c>
      <c r="M7" s="15">
        <v>13384.597540760013</v>
      </c>
      <c r="N7" s="15">
        <v>-4842.8006733324901</v>
      </c>
      <c r="O7" s="15">
        <v>-2416.843837088275</v>
      </c>
      <c r="P7" s="15">
        <v>26140.16778237126</v>
      </c>
      <c r="Q7" s="15">
        <v>0</v>
      </c>
      <c r="R7" s="15">
        <v>4834.2806885125647</v>
      </c>
      <c r="S7" s="15">
        <v>2.7064108047296174E-2</v>
      </c>
      <c r="T7" s="15">
        <v>-4658.7240696342205</v>
      </c>
      <c r="U7" s="15">
        <v>5855.9639802205957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33742.254521277689</v>
      </c>
      <c r="AB7" s="15">
        <v>19.043799985586119</v>
      </c>
      <c r="AC7" s="15">
        <v>1887.791874752616</v>
      </c>
      <c r="AD7" s="15">
        <v>111.13687082971894</v>
      </c>
      <c r="AE7" s="15">
        <v>0</v>
      </c>
      <c r="AF7" s="15">
        <v>854.32922267961078</v>
      </c>
      <c r="AG7" s="15">
        <v>1112.8363417570197</v>
      </c>
      <c r="AH7" s="15">
        <v>9809.154704096165</v>
      </c>
      <c r="AI7" s="15">
        <v>3586.899317382919</v>
      </c>
      <c r="AJ7" s="15">
        <v>2261.6811051378722</v>
      </c>
      <c r="AK7" s="15">
        <v>1325.2182122450467</v>
      </c>
      <c r="AL7" s="15">
        <f t="shared" si="1"/>
        <v>2720.1665549476625</v>
      </c>
      <c r="AM7" s="15">
        <v>2720.1665549476625</v>
      </c>
      <c r="AN7" s="15">
        <v>0</v>
      </c>
      <c r="AO7" s="15">
        <v>1832.664282090713</v>
      </c>
      <c r="AP7" s="15">
        <v>2093.2950409138466</v>
      </c>
      <c r="AQ7" s="15"/>
      <c r="AR7" s="15"/>
      <c r="AS7" s="15">
        <v>239.01311985901745</v>
      </c>
      <c r="AT7" s="15">
        <v>7.9969590856406141</v>
      </c>
      <c r="AU7" s="15">
        <f t="shared" si="2"/>
        <v>231.01616077337684</v>
      </c>
      <c r="AV7" s="15">
        <v>-485.62048192771078</v>
      </c>
      <c r="AW7" s="15">
        <v>-288.39999999999992</v>
      </c>
      <c r="AX7" s="15">
        <v>23933.099817181523</v>
      </c>
      <c r="AY7" s="15">
        <v>17930.543689665239</v>
      </c>
      <c r="AZ7" s="15">
        <v>5663.3756242578474</v>
      </c>
      <c r="BA7" s="15"/>
      <c r="BB7" s="15"/>
      <c r="BC7" s="15">
        <v>339.18050325843205</v>
      </c>
      <c r="BD7" s="15">
        <v>0</v>
      </c>
      <c r="BE7" s="15">
        <f t="shared" si="3"/>
        <v>450.31737408815098</v>
      </c>
      <c r="BF7" s="15">
        <v>17613.843299254881</v>
      </c>
      <c r="BG7" s="15">
        <v>316.70039041035739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33486.511355910967</v>
      </c>
      <c r="BP7" s="15">
        <v>252.024148742656</v>
      </c>
      <c r="BQ7" s="15">
        <v>3.7190166240604272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199.01969308008682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39.589938946038778</v>
      </c>
      <c r="CG7" s="15">
        <v>39.589938946038778</v>
      </c>
      <c r="CH7" s="15">
        <v>2444.3886897668804</v>
      </c>
      <c r="CI7" s="15"/>
      <c r="CJ7" s="15">
        <v>0</v>
      </c>
      <c r="CK7" s="15">
        <v>151.08299085537283</v>
      </c>
      <c r="CL7" s="15">
        <v>2673.6931026574066</v>
      </c>
      <c r="CM7" s="15">
        <v>2682.9983217930062</v>
      </c>
      <c r="CN7" s="15">
        <v>-8.7034293953066051</v>
      </c>
      <c r="CO7" s="15">
        <v>0</v>
      </c>
      <c r="CP7" s="15">
        <v>252.024148742656</v>
      </c>
      <c r="CQ7" s="15">
        <v>0</v>
      </c>
      <c r="CR7" s="15">
        <v>252.024148742656</v>
      </c>
      <c r="CS7" s="15">
        <v>239.42294130552318</v>
      </c>
      <c r="CT7" s="15">
        <v>12.60120743713281</v>
      </c>
      <c r="CU7" s="15">
        <v>0</v>
      </c>
      <c r="CV7" s="15">
        <v>0</v>
      </c>
      <c r="CW7" s="15">
        <v>41</v>
      </c>
      <c r="CX7" s="15">
        <v>196.16636414703891</v>
      </c>
      <c r="CY7" s="15">
        <v>0</v>
      </c>
      <c r="CZ7" s="15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5">
        <v>0</v>
      </c>
      <c r="DI7" s="15">
        <v>33495.816575046571</v>
      </c>
      <c r="DJ7" s="15">
        <v>31051.427885279689</v>
      </c>
      <c r="DK7" s="15">
        <v>33591.171530422318</v>
      </c>
      <c r="DL7" s="18">
        <v>7.9366849898490882E-2</v>
      </c>
      <c r="DM7" s="15">
        <v>28973.607489945232</v>
      </c>
      <c r="DN7" s="15">
        <v>20014.802910764898</v>
      </c>
      <c r="DO7" s="15">
        <v>5325.3378881336585</v>
      </c>
      <c r="DP7" s="15">
        <v>1272.0369390824935</v>
      </c>
      <c r="DQ7" s="15">
        <v>1475.6841929320105</v>
      </c>
      <c r="DR7" s="15">
        <v>885.74555903217208</v>
      </c>
      <c r="DS7" s="15">
        <v>28973.607489945232</v>
      </c>
      <c r="DT7" s="18">
        <f t="shared" si="4"/>
        <v>0.24329968818518255</v>
      </c>
      <c r="DU7" s="18">
        <f t="shared" si="5"/>
        <v>0.17197248418204855</v>
      </c>
      <c r="DV7" s="18">
        <f t="shared" si="6"/>
        <v>3.2014280450328371E-2</v>
      </c>
      <c r="DW7" s="18">
        <f t="shared" si="7"/>
        <v>-2.5469026006602367E-2</v>
      </c>
      <c r="DX7" s="18">
        <f t="shared" si="8"/>
        <v>7.3172967052390375E-2</v>
      </c>
      <c r="DY7" s="18">
        <f t="shared" si="9"/>
        <v>0.14290707136008496</v>
      </c>
      <c r="DZ7" s="18">
        <f t="shared" si="10"/>
        <v>-2.6475364166305044E-2</v>
      </c>
      <c r="EA7" s="18">
        <f t="shared" si="11"/>
        <v>0.36214911313401282</v>
      </c>
      <c r="EB7" s="18">
        <f t="shared" si="12"/>
        <v>2.6428785808859726E-2</v>
      </c>
      <c r="EC7" s="18">
        <f t="shared" si="13"/>
        <v>0.54146098632104966</v>
      </c>
      <c r="ED7" s="18">
        <f t="shared" si="14"/>
        <v>0.17102085717482754</v>
      </c>
      <c r="EE7" s="18">
        <f t="shared" si="15"/>
        <v>6.7329628652265036E-2</v>
      </c>
      <c r="EF7" s="18">
        <f t="shared" si="16"/>
        <v>3.9451384154459875E-2</v>
      </c>
      <c r="EG7" s="18">
        <f t="shared" si="17"/>
        <v>8.0978615243713817E-2</v>
      </c>
      <c r="EH7" s="18">
        <f t="shared" si="18"/>
        <v>5.0060215664475778E-2</v>
      </c>
      <c r="EI7" s="18">
        <f t="shared" si="19"/>
        <v>6.2316821520143305E-2</v>
      </c>
      <c r="EJ7" s="18">
        <f t="shared" si="20"/>
        <v>7.1153552844250116E-3</v>
      </c>
      <c r="EK7" s="18">
        <f t="shared" si="21"/>
        <v>-1.4456789084831464E-2</v>
      </c>
      <c r="EL7" s="18">
        <f t="shared" si="22"/>
        <v>-8.585589214678219E-3</v>
      </c>
      <c r="EM7" s="6">
        <v>19.644853359415823</v>
      </c>
      <c r="EN7" s="6">
        <v>20.071820727735734</v>
      </c>
      <c r="EO7" s="6">
        <v>22.700754345053731</v>
      </c>
      <c r="EP7" s="6">
        <v>19.520122422789012</v>
      </c>
      <c r="EQ7" s="14">
        <v>59027.613520261635</v>
      </c>
      <c r="ER7" s="14"/>
      <c r="ES7" s="15">
        <v>100546</v>
      </c>
      <c r="ET7" s="15">
        <v>39154.052433920922</v>
      </c>
      <c r="EU7" s="14">
        <v>0</v>
      </c>
      <c r="EX7" s="16"/>
      <c r="EY7" s="16"/>
      <c r="FA7" s="17"/>
      <c r="FB7" s="17"/>
      <c r="FC7" s="17"/>
      <c r="GJ7" s="6">
        <v>0.5200349732135966</v>
      </c>
    </row>
    <row r="8" spans="1:195" ht="15">
      <c r="A8" s="12">
        <v>1916</v>
      </c>
      <c r="B8" s="13"/>
      <c r="C8" s="15">
        <f t="shared" si="0"/>
        <v>208052.48302220678</v>
      </c>
      <c r="D8" s="15">
        <v>54699.093869652468</v>
      </c>
      <c r="E8" s="15">
        <v>1338.8958522453445</v>
      </c>
      <c r="F8" s="15">
        <v>31986.336268236442</v>
      </c>
      <c r="G8" s="15">
        <v>0</v>
      </c>
      <c r="H8" s="15">
        <v>1577.6185534865001</v>
      </c>
      <c r="I8" s="15">
        <v>73227.430831945589</v>
      </c>
      <c r="L8" s="15">
        <v>0</v>
      </c>
      <c r="M8" s="15">
        <v>14683.47068758862</v>
      </c>
      <c r="N8" s="15">
        <v>-5255.6295831903408</v>
      </c>
      <c r="O8" s="15">
        <v>-2622.8698691023569</v>
      </c>
      <c r="P8" s="15">
        <v>28629.707571168528</v>
      </c>
      <c r="Q8" s="15">
        <v>0</v>
      </c>
      <c r="R8" s="15">
        <v>5277.3244856732717</v>
      </c>
      <c r="S8" s="15">
        <v>2.6946713921510535E-2</v>
      </c>
      <c r="T8" s="15">
        <v>-5107.3419430064041</v>
      </c>
      <c r="U8" s="15">
        <v>6995.5764284067454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42638.060982962961</v>
      </c>
      <c r="AB8" s="15">
        <v>73.566916649728057</v>
      </c>
      <c r="AC8" s="15">
        <v>2187.6582705356504</v>
      </c>
      <c r="AD8" s="15">
        <v>238.62667592049044</v>
      </c>
      <c r="AE8" s="15">
        <v>0</v>
      </c>
      <c r="AF8" s="15">
        <v>931.99551565048444</v>
      </c>
      <c r="AG8" s="15">
        <v>1214.0032819167488</v>
      </c>
      <c r="AH8" s="15">
        <v>12761.17171491867</v>
      </c>
      <c r="AI8" s="15">
        <v>4056.0736692060068</v>
      </c>
      <c r="AJ8" s="15">
        <v>2557.5139882609492</v>
      </c>
      <c r="AK8" s="15">
        <v>1498.5596809450572</v>
      </c>
      <c r="AL8" s="15">
        <f t="shared" si="1"/>
        <v>4551.9287534671948</v>
      </c>
      <c r="AM8" s="15">
        <v>4551.9287534671948</v>
      </c>
      <c r="AN8" s="15">
        <v>0</v>
      </c>
      <c r="AO8" s="15">
        <v>2077.7150608495886</v>
      </c>
      <c r="AP8" s="15">
        <v>2411.8435427115382</v>
      </c>
      <c r="AQ8" s="15"/>
      <c r="AR8" s="15"/>
      <c r="AS8" s="15">
        <v>266.48116582052273</v>
      </c>
      <c r="AT8" s="15">
        <v>11.834091802750397</v>
      </c>
      <c r="AU8" s="15">
        <f t="shared" si="2"/>
        <v>254.64707401777233</v>
      </c>
      <c r="AV8" s="15">
        <v>-525.32530120481908</v>
      </c>
      <c r="AW8" s="15">
        <v>-316.17185185185178</v>
      </c>
      <c r="AX8" s="15">
        <v>29876.889268044299</v>
      </c>
      <c r="AY8" s="15">
        <v>22642.288772297583</v>
      </c>
      <c r="AZ8" s="15">
        <v>6562.9748116069532</v>
      </c>
      <c r="BA8" s="15"/>
      <c r="BB8" s="15"/>
      <c r="BC8" s="15">
        <v>671.62568413975646</v>
      </c>
      <c r="BD8" s="15">
        <v>0</v>
      </c>
      <c r="BE8" s="15">
        <f t="shared" si="3"/>
        <v>910.25236006024693</v>
      </c>
      <c r="BF8" s="15">
        <v>22242.366616110889</v>
      </c>
      <c r="BG8" s="15">
        <v>399.92215618669746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42314.492894638614</v>
      </c>
      <c r="BP8" s="15">
        <v>318.25044751502605</v>
      </c>
      <c r="BQ8" s="15">
        <v>5.3176408093218583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251.60639509532817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50.050734508210439</v>
      </c>
      <c r="CG8" s="15">
        <v>50.050734508210439</v>
      </c>
      <c r="CH8" s="15">
        <v>3175.7874260102776</v>
      </c>
      <c r="CI8" s="15"/>
      <c r="CJ8" s="15">
        <v>0</v>
      </c>
      <c r="CK8" s="15">
        <v>171.14002154164905</v>
      </c>
      <c r="CL8" s="15">
        <v>3445.8172092277996</v>
      </c>
      <c r="CM8" s="15">
        <v>3477.4445556138162</v>
      </c>
      <c r="CN8" s="15">
        <v>-30.86654656356086</v>
      </c>
      <c r="CO8" s="15">
        <v>0</v>
      </c>
      <c r="CP8" s="15">
        <v>318.25044751502605</v>
      </c>
      <c r="CQ8" s="15">
        <v>0</v>
      </c>
      <c r="CR8" s="15">
        <v>318.25044751502605</v>
      </c>
      <c r="CS8" s="15">
        <v>302.33792513927477</v>
      </c>
      <c r="CT8" s="15">
        <v>15.912522375751317</v>
      </c>
      <c r="CU8" s="15">
        <v>0</v>
      </c>
      <c r="CV8" s="15">
        <v>-800.61376489031136</v>
      </c>
      <c r="CW8" s="15">
        <v>68</v>
      </c>
      <c r="CX8" s="15">
        <v>247.99913495059218</v>
      </c>
      <c r="CY8" s="15">
        <v>0</v>
      </c>
      <c r="CZ8" s="15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5">
        <v>0</v>
      </c>
      <c r="DI8" s="15">
        <v>42346.120241024633</v>
      </c>
      <c r="DJ8" s="15">
        <v>39170.332815014357</v>
      </c>
      <c r="DK8" s="15">
        <v>42466.920961421318</v>
      </c>
      <c r="DL8" s="18">
        <v>0.11931204840623336</v>
      </c>
      <c r="DM8" s="15">
        <v>34456.016788412504</v>
      </c>
      <c r="DN8" s="15">
        <v>23094.386201519726</v>
      </c>
      <c r="DO8" s="15">
        <v>6339.1691980729911</v>
      </c>
      <c r="DP8" s="15">
        <v>1439.0501658425005</v>
      </c>
      <c r="DQ8" s="15">
        <v>2643.9984875956584</v>
      </c>
      <c r="DR8" s="15">
        <v>939.41273538162818</v>
      </c>
      <c r="DS8" s="15">
        <v>35007.599080112879</v>
      </c>
      <c r="DT8" s="18">
        <f t="shared" si="4"/>
        <v>0.26291007478057393</v>
      </c>
      <c r="DU8" s="18">
        <f t="shared" si="5"/>
        <v>0.16775983716686949</v>
      </c>
      <c r="DV8" s="18">
        <f t="shared" si="6"/>
        <v>3.362409487638781E-2</v>
      </c>
      <c r="DW8" s="18">
        <f t="shared" si="7"/>
        <v>-2.4548334481839684E-2</v>
      </c>
      <c r="DX8" s="18">
        <f t="shared" si="8"/>
        <v>7.0575801231948565E-2</v>
      </c>
      <c r="DY8" s="18">
        <f t="shared" si="9"/>
        <v>0.13760810327898224</v>
      </c>
      <c r="DZ8" s="18">
        <f t="shared" si="10"/>
        <v>-2.5261075988357098E-2</v>
      </c>
      <c r="EA8" s="18">
        <f t="shared" si="11"/>
        <v>0.3519661470424727</v>
      </c>
      <c r="EB8" s="18">
        <f t="shared" si="12"/>
        <v>2.536535209296199E-2</v>
      </c>
      <c r="EC8" s="18">
        <f t="shared" si="13"/>
        <v>0.54543599923614305</v>
      </c>
      <c r="ED8" s="18">
        <f t="shared" si="14"/>
        <v>0.15809721182913944</v>
      </c>
      <c r="EE8" s="18">
        <f t="shared" si="15"/>
        <v>6.0223673634928684E-2</v>
      </c>
      <c r="EF8" s="18">
        <f t="shared" si="16"/>
        <v>3.528769326851857E-2</v>
      </c>
      <c r="EG8" s="18">
        <f t="shared" si="17"/>
        <v>0.10718763334884468</v>
      </c>
      <c r="EH8" s="18">
        <f t="shared" si="18"/>
        <v>4.4895532714508544E-2</v>
      </c>
      <c r="EI8" s="18">
        <f t="shared" si="19"/>
        <v>5.6793463903412146E-2</v>
      </c>
      <c r="EJ8" s="18">
        <f t="shared" si="20"/>
        <v>6.2750291235525429E-3</v>
      </c>
      <c r="EK8" s="18">
        <f t="shared" si="21"/>
        <v>-1.2370223442430545E-2</v>
      </c>
      <c r="EL8" s="18">
        <f t="shared" si="22"/>
        <v>-7.4451324629604106E-3</v>
      </c>
      <c r="EM8" s="6">
        <v>18.030207877820001</v>
      </c>
      <c r="EN8" s="6">
        <v>18.42208203778485</v>
      </c>
      <c r="EO8" s="6">
        <v>21.104065201517841</v>
      </c>
      <c r="EP8" s="6">
        <v>17.915728798998131</v>
      </c>
      <c r="EQ8" s="14">
        <v>60063.199999999997</v>
      </c>
      <c r="ER8" s="14"/>
      <c r="ES8" s="15">
        <v>101961</v>
      </c>
      <c r="ET8" s="15">
        <v>39790.08915667882</v>
      </c>
      <c r="EU8" s="14">
        <v>0</v>
      </c>
      <c r="EX8" s="16"/>
      <c r="EY8" s="16"/>
      <c r="FA8" s="17"/>
      <c r="FB8" s="17"/>
      <c r="FC8" s="17"/>
      <c r="GJ8" s="6">
        <v>0.55644850486004571</v>
      </c>
    </row>
    <row r="9" spans="1:195" ht="15">
      <c r="A9" s="12">
        <v>1917</v>
      </c>
      <c r="B9" s="13"/>
      <c r="C9" s="15">
        <f t="shared" si="0"/>
        <v>216750.93478413188</v>
      </c>
      <c r="D9" s="15">
        <v>50147.954754360049</v>
      </c>
      <c r="E9" s="15">
        <v>1508.3763398713372</v>
      </c>
      <c r="F9" s="15">
        <v>35525.482543519109</v>
      </c>
      <c r="G9" s="15">
        <v>0</v>
      </c>
      <c r="H9" s="15">
        <v>1752.1750510036327</v>
      </c>
      <c r="I9" s="15">
        <v>78714.795090335116</v>
      </c>
      <c r="L9" s="15">
        <v>0</v>
      </c>
      <c r="M9" s="15">
        <v>15982.343834417232</v>
      </c>
      <c r="N9" s="15">
        <v>-5668.4584930481915</v>
      </c>
      <c r="O9" s="15">
        <v>-2828.8959011164393</v>
      </c>
      <c r="P9" s="15">
        <v>31119.247359965786</v>
      </c>
      <c r="Q9" s="15">
        <v>0</v>
      </c>
      <c r="R9" s="15">
        <v>5720.3682828339779</v>
      </c>
      <c r="S9" s="15">
        <v>2.6847504198085317E-2</v>
      </c>
      <c r="T9" s="15">
        <v>-5555.9598163785886</v>
      </c>
      <c r="U9" s="15">
        <v>7504.609837252433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50970.928202221461</v>
      </c>
      <c r="AB9" s="15">
        <v>306.79048574507584</v>
      </c>
      <c r="AC9" s="15">
        <v>2707.2203358731713</v>
      </c>
      <c r="AD9" s="15">
        <v>356.93110513858704</v>
      </c>
      <c r="AE9" s="15">
        <v>0</v>
      </c>
      <c r="AF9" s="15">
        <v>1009.661808621358</v>
      </c>
      <c r="AG9" s="15">
        <v>1315.1702220764776</v>
      </c>
      <c r="AH9" s="15">
        <v>15405.461323700818</v>
      </c>
      <c r="AI9" s="15">
        <v>4390.3133337628105</v>
      </c>
      <c r="AJ9" s="15">
        <v>2768.2652436006993</v>
      </c>
      <c r="AK9" s="15">
        <v>1622.0480901621104</v>
      </c>
      <c r="AL9" s="15">
        <f t="shared" si="1"/>
        <v>6030.3873120657599</v>
      </c>
      <c r="AM9" s="15">
        <v>6030.3873120657599</v>
      </c>
      <c r="AN9" s="15">
        <v>0</v>
      </c>
      <c r="AO9" s="15">
        <v>2292.5514891743037</v>
      </c>
      <c r="AP9" s="15">
        <v>2950.0877140637162</v>
      </c>
      <c r="AQ9" s="15"/>
      <c r="AR9" s="15"/>
      <c r="AS9" s="15">
        <v>294.16419368127021</v>
      </c>
      <c r="AT9" s="15">
        <v>18.468001023590176</v>
      </c>
      <c r="AU9" s="15">
        <f t="shared" si="2"/>
        <v>275.69619265768006</v>
      </c>
      <c r="AV9" s="15">
        <v>-565.03012048192761</v>
      </c>
      <c r="AW9" s="15">
        <v>-343.94370370370359</v>
      </c>
      <c r="AX9" s="15">
        <v>35565.466878520645</v>
      </c>
      <c r="AY9" s="15">
        <v>26473.331047911484</v>
      </c>
      <c r="AZ9" s="15">
        <v>8121.6610076195157</v>
      </c>
      <c r="BA9" s="15"/>
      <c r="BB9" s="15"/>
      <c r="BC9" s="15">
        <v>970.47482298964121</v>
      </c>
      <c r="BD9" s="15">
        <v>0</v>
      </c>
      <c r="BE9" s="15">
        <f t="shared" si="3"/>
        <v>1327.4059281282282</v>
      </c>
      <c r="BF9" s="15">
        <v>26005.742645493512</v>
      </c>
      <c r="BG9" s="15">
        <v>467.58840241797373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50591.867560530918</v>
      </c>
      <c r="BP9" s="15">
        <v>372.09795961613452</v>
      </c>
      <c r="BQ9" s="15">
        <v>6.9626820744086091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300.67110962303701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59.810919656195516</v>
      </c>
      <c r="CG9" s="15">
        <v>59.810919656195516</v>
      </c>
      <c r="CH9" s="15">
        <v>9222.9460474611024</v>
      </c>
      <c r="CI9" s="15"/>
      <c r="CJ9" s="15">
        <v>0</v>
      </c>
      <c r="CK9" s="15">
        <v>222.70996672462212</v>
      </c>
      <c r="CL9" s="15">
        <v>4489.0080326092439</v>
      </c>
      <c r="CM9" s="15">
        <v>9583.4280767403343</v>
      </c>
      <c r="CN9" s="15">
        <v>-5093.510883905923</v>
      </c>
      <c r="CO9" s="15">
        <v>0</v>
      </c>
      <c r="CP9" s="15">
        <v>372.09795961613452</v>
      </c>
      <c r="CQ9" s="15">
        <v>0</v>
      </c>
      <c r="CR9" s="15">
        <v>372.09795961613452</v>
      </c>
      <c r="CS9" s="15">
        <v>353.49306163532776</v>
      </c>
      <c r="CT9" s="15">
        <v>18.604897980806744</v>
      </c>
      <c r="CU9" s="15">
        <v>0</v>
      </c>
      <c r="CV9" s="15">
        <v>-2879.4758730723479</v>
      </c>
      <c r="CW9" s="15">
        <v>173</v>
      </c>
      <c r="CX9" s="15">
        <v>296.36041271087862</v>
      </c>
      <c r="CY9" s="15">
        <v>0</v>
      </c>
      <c r="CZ9" s="15">
        <v>60.619175327225165</v>
      </c>
      <c r="DA9" s="19">
        <v>0</v>
      </c>
      <c r="DB9" s="19">
        <v>0</v>
      </c>
      <c r="DC9" s="19">
        <v>0</v>
      </c>
      <c r="DD9" s="19">
        <v>1.3345845928014244E-2</v>
      </c>
      <c r="DE9" s="19">
        <v>0.13378450228259053</v>
      </c>
      <c r="DF9" s="19">
        <v>0.35715655551439252</v>
      </c>
      <c r="DG9" s="19">
        <v>0.49571309627500271</v>
      </c>
      <c r="DH9" s="15">
        <v>0</v>
      </c>
      <c r="DI9" s="15">
        <v>55686.287604662008</v>
      </c>
      <c r="DJ9" s="15">
        <v>46463.341557200903</v>
      </c>
      <c r="DK9" s="15">
        <v>50748.218235496839</v>
      </c>
      <c r="DL9" s="18">
        <v>0.17758511733479135</v>
      </c>
      <c r="DM9" s="15">
        <v>41827.079800761137</v>
      </c>
      <c r="DN9" s="15">
        <v>28508.257208506115</v>
      </c>
      <c r="DO9" s="15">
        <v>7687.801144206237</v>
      </c>
      <c r="DP9" s="15">
        <v>1583.0483499999998</v>
      </c>
      <c r="DQ9" s="15">
        <v>3050.1266961708106</v>
      </c>
      <c r="DR9" s="15">
        <v>997.84640187798266</v>
      </c>
      <c r="DS9" s="15">
        <v>42193.265249513541</v>
      </c>
      <c r="DT9" s="18">
        <f t="shared" si="4"/>
        <v>0.23136211525133099</v>
      </c>
      <c r="DU9" s="18">
        <f t="shared" si="5"/>
        <v>0.17894286810353152</v>
      </c>
      <c r="DV9" s="18">
        <f t="shared" si="6"/>
        <v>3.4623194796029259E-2</v>
      </c>
      <c r="DW9" s="18">
        <f t="shared" si="7"/>
        <v>-2.563292205365536E-2</v>
      </c>
      <c r="DX9" s="18">
        <f t="shared" si="8"/>
        <v>7.3735985730970344E-2</v>
      </c>
      <c r="DY9" s="18">
        <f t="shared" si="9"/>
        <v>0.14357145629364085</v>
      </c>
      <c r="DZ9" s="18">
        <f t="shared" si="10"/>
        <v>-2.6151944851788355E-2</v>
      </c>
      <c r="EA9" s="18">
        <f t="shared" si="11"/>
        <v>0.36315781137797309</v>
      </c>
      <c r="EB9" s="18">
        <f t="shared" si="12"/>
        <v>2.6391435351967675E-2</v>
      </c>
      <c r="EC9" s="18">
        <f t="shared" si="13"/>
        <v>0.53629416364817895</v>
      </c>
      <c r="ED9" s="18">
        <f t="shared" si="14"/>
        <v>0.16452781818927747</v>
      </c>
      <c r="EE9" s="18">
        <f t="shared" si="15"/>
        <v>5.4549013538851332E-2</v>
      </c>
      <c r="EF9" s="18">
        <f t="shared" si="16"/>
        <v>3.1962660888605089E-2</v>
      </c>
      <c r="EG9" s="18">
        <f t="shared" si="17"/>
        <v>0.11882953770084655</v>
      </c>
      <c r="EH9" s="18">
        <f t="shared" si="18"/>
        <v>4.0786486588447163E-2</v>
      </c>
      <c r="EI9" s="18">
        <f t="shared" si="19"/>
        <v>5.8131848104968922E-2</v>
      </c>
      <c r="EJ9" s="18">
        <f t="shared" si="20"/>
        <v>5.7965423005829058E-3</v>
      </c>
      <c r="EK9" s="18">
        <f t="shared" si="21"/>
        <v>-1.1133989332589142E-2</v>
      </c>
      <c r="EL9" s="18">
        <f t="shared" si="22"/>
        <v>-6.7774537838478314E-3</v>
      </c>
      <c r="EM9" s="6">
        <v>15.062207109199985</v>
      </c>
      <c r="EN9" s="6">
        <v>15.389573815015693</v>
      </c>
      <c r="EO9" s="6">
        <v>17.971430523167538</v>
      </c>
      <c r="EP9" s="6">
        <v>14.966572737895447</v>
      </c>
      <c r="EQ9" s="14">
        <v>60913.599999999999</v>
      </c>
      <c r="ER9" s="14"/>
      <c r="ES9" s="15">
        <v>103268</v>
      </c>
      <c r="ET9" s="15">
        <v>40386.988274838346</v>
      </c>
      <c r="EU9" s="14">
        <v>0</v>
      </c>
      <c r="EX9" s="16"/>
      <c r="EY9" s="16"/>
      <c r="FA9" s="17"/>
      <c r="FB9" s="17"/>
      <c r="FC9" s="17"/>
      <c r="GJ9" s="6">
        <v>0.48479061728119266</v>
      </c>
    </row>
    <row r="10" spans="1:195" ht="15">
      <c r="A10" s="12">
        <v>1918</v>
      </c>
      <c r="B10" s="13"/>
      <c r="C10" s="15">
        <f t="shared" si="0"/>
        <v>231236.19920445894</v>
      </c>
      <c r="D10" s="15">
        <v>47790.065514254573</v>
      </c>
      <c r="E10" s="15">
        <v>1677.8568274973302</v>
      </c>
      <c r="F10" s="15">
        <v>41224.918315461822</v>
      </c>
      <c r="G10" s="15">
        <v>0</v>
      </c>
      <c r="H10" s="15">
        <v>2033.2805687728053</v>
      </c>
      <c r="I10" s="15">
        <v>85436.11768632599</v>
      </c>
      <c r="L10" s="15">
        <v>0</v>
      </c>
      <c r="M10" s="15">
        <v>17281.216981245849</v>
      </c>
      <c r="N10" s="15">
        <v>-6081.2874029060422</v>
      </c>
      <c r="O10" s="15">
        <v>-3034.9219331305212</v>
      </c>
      <c r="P10" s="15">
        <v>33608.787148763047</v>
      </c>
      <c r="Q10" s="15">
        <v>0</v>
      </c>
      <c r="R10" s="15">
        <v>6163.412079994685</v>
      </c>
      <c r="S10" s="15">
        <v>2.6762557435504215E-2</v>
      </c>
      <c r="T10" s="15">
        <v>-6004.5776897507731</v>
      </c>
      <c r="U10" s="15">
        <v>8106.4091747996372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63049.913634829245</v>
      </c>
      <c r="AB10" s="15">
        <v>804.84767491042999</v>
      </c>
      <c r="AC10" s="15">
        <v>3045.311738230022</v>
      </c>
      <c r="AD10" s="15">
        <v>526.36523020486413</v>
      </c>
      <c r="AE10" s="15">
        <v>0</v>
      </c>
      <c r="AF10" s="15">
        <v>1087.3281015922314</v>
      </c>
      <c r="AG10" s="15">
        <v>1416.3371622362065</v>
      </c>
      <c r="AH10" s="15">
        <v>18399.090466524038</v>
      </c>
      <c r="AI10" s="15">
        <v>4879.7868553041144</v>
      </c>
      <c r="AJ10" s="15">
        <v>3076.8975516697706</v>
      </c>
      <c r="AK10" s="15">
        <v>1802.8893036343443</v>
      </c>
      <c r="AL10" s="15">
        <f t="shared" si="1"/>
        <v>7563.1944716928556</v>
      </c>
      <c r="AM10" s="15">
        <v>7563.1944716928556</v>
      </c>
      <c r="AN10" s="15">
        <v>0</v>
      </c>
      <c r="AO10" s="15">
        <v>2760.9935298013465</v>
      </c>
      <c r="AP10" s="15">
        <v>3306.8612224352237</v>
      </c>
      <c r="AQ10" s="15"/>
      <c r="AR10" s="15"/>
      <c r="AS10" s="15">
        <v>338.33965240022371</v>
      </c>
      <c r="AT10" s="15">
        <v>26.104564914086939</v>
      </c>
      <c r="AU10" s="15">
        <f t="shared" si="2"/>
        <v>312.23508748613676</v>
      </c>
      <c r="AV10" s="15">
        <v>-604.73493975903602</v>
      </c>
      <c r="AW10" s="15">
        <v>-371.71555555555545</v>
      </c>
      <c r="AX10" s="15">
        <v>44650.823168305214</v>
      </c>
      <c r="AY10" s="15">
        <v>34036.30902187094</v>
      </c>
      <c r="AZ10" s="15">
        <v>9135.9352146900655</v>
      </c>
      <c r="BA10" s="15"/>
      <c r="BB10" s="15"/>
      <c r="BC10" s="15">
        <v>1478.5789317442106</v>
      </c>
      <c r="BD10" s="15">
        <v>0</v>
      </c>
      <c r="BE10" s="15">
        <f t="shared" si="3"/>
        <v>2004.9441619490749</v>
      </c>
      <c r="BF10" s="15">
        <v>33435.13860886405</v>
      </c>
      <c r="BG10" s="15">
        <v>601.17041300689061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62562.429327184313</v>
      </c>
      <c r="BP10" s="15">
        <v>478.39998362811241</v>
      </c>
      <c r="BQ10" s="15">
        <v>9.0843240168183499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371.17203593742306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73.835297471422848</v>
      </c>
      <c r="CG10" s="15">
        <v>73.835297471422848</v>
      </c>
      <c r="CH10" s="15">
        <v>14219.950359661492</v>
      </c>
      <c r="CI10" s="15"/>
      <c r="CJ10" s="15">
        <v>0</v>
      </c>
      <c r="CK10" s="15">
        <v>402.3266874772296</v>
      </c>
      <c r="CL10" s="15">
        <v>6623.9738172676962</v>
      </c>
      <c r="CM10" s="15">
        <v>14664.957693070339</v>
      </c>
      <c r="CN10" s="15">
        <v>-8039.8615370046364</v>
      </c>
      <c r="CO10" s="15">
        <v>0</v>
      </c>
      <c r="CP10" s="15">
        <v>478.39998362811241</v>
      </c>
      <c r="CQ10" s="15">
        <v>0</v>
      </c>
      <c r="CR10" s="15">
        <v>478.39998362811241</v>
      </c>
      <c r="CS10" s="15">
        <v>454.47998444670679</v>
      </c>
      <c r="CT10" s="15">
        <v>23.91999918140564</v>
      </c>
      <c r="CU10" s="15">
        <v>0</v>
      </c>
      <c r="CV10" s="15">
        <v>959.46284194281259</v>
      </c>
      <c r="CW10" s="15">
        <v>795</v>
      </c>
      <c r="CX10" s="15">
        <v>365.85057305659961</v>
      </c>
      <c r="CY10" s="15">
        <v>0</v>
      </c>
      <c r="CZ10" s="15">
        <v>149.66614352315437</v>
      </c>
      <c r="DA10" s="19">
        <v>0</v>
      </c>
      <c r="DB10" s="19">
        <v>0</v>
      </c>
      <c r="DC10" s="19">
        <v>0</v>
      </c>
      <c r="DD10" s="19">
        <v>1.3345845928014244E-2</v>
      </c>
      <c r="DE10" s="19">
        <v>0.13378450228259053</v>
      </c>
      <c r="DF10" s="19">
        <v>0.35715655551439252</v>
      </c>
      <c r="DG10" s="19">
        <v>0.49571309627500271</v>
      </c>
      <c r="DH10" s="15">
        <v>0</v>
      </c>
      <c r="DI10" s="15">
        <v>70603.413202986951</v>
      </c>
      <c r="DJ10" s="15">
        <v>56383.462843325462</v>
      </c>
      <c r="DK10" s="15">
        <v>62647.586947352014</v>
      </c>
      <c r="DL10" s="18">
        <v>0.16529573562508931</v>
      </c>
      <c r="DM10" s="15">
        <v>46568.457916190804</v>
      </c>
      <c r="DN10" s="15">
        <v>32248.879263012761</v>
      </c>
      <c r="DO10" s="15">
        <v>8559.2646141530731</v>
      </c>
      <c r="DP10" s="15">
        <v>1573.9891605156915</v>
      </c>
      <c r="DQ10" s="15">
        <v>3085.9362499999997</v>
      </c>
      <c r="DR10" s="15">
        <v>1100.3886285092742</v>
      </c>
      <c r="DS10" s="15">
        <v>46912.265562543216</v>
      </c>
      <c r="DT10" s="18">
        <f t="shared" si="4"/>
        <v>0.20667207677115734</v>
      </c>
      <c r="DU10" s="18">
        <f t="shared" si="5"/>
        <v>0.19432967617669375</v>
      </c>
      <c r="DV10" s="18">
        <f t="shared" si="6"/>
        <v>3.5056834538401811E-2</v>
      </c>
      <c r="DW10" s="18">
        <f t="shared" si="7"/>
        <v>-2.5967291066056348E-2</v>
      </c>
      <c r="DX10" s="18">
        <f t="shared" si="8"/>
        <v>7.4734047007777554E-2</v>
      </c>
      <c r="DY10" s="18">
        <f t="shared" si="9"/>
        <v>0.14534396977804576</v>
      </c>
      <c r="DZ10" s="18">
        <f t="shared" si="10"/>
        <v>-2.6299028542364902E-2</v>
      </c>
      <c r="EA10" s="18">
        <f t="shared" si="11"/>
        <v>0.36947553185988591</v>
      </c>
      <c r="EB10" s="18">
        <f t="shared" si="12"/>
        <v>2.6654183476459058E-2</v>
      </c>
      <c r="EC10" s="18">
        <f t="shared" si="13"/>
        <v>0.56190507556047964</v>
      </c>
      <c r="ED10" s="18">
        <f t="shared" si="14"/>
        <v>0.150825060491353</v>
      </c>
      <c r="EE10" s="18">
        <f t="shared" si="15"/>
        <v>4.911438255803123E-2</v>
      </c>
      <c r="EF10" s="18">
        <f t="shared" si="16"/>
        <v>2.877827210087856E-2</v>
      </c>
      <c r="EG10" s="18">
        <f t="shared" si="17"/>
        <v>0.12072603016695341</v>
      </c>
      <c r="EH10" s="18">
        <f t="shared" si="18"/>
        <v>3.7649763658196465E-2</v>
      </c>
      <c r="EI10" s="18">
        <f t="shared" si="19"/>
        <v>5.2785133212141989E-2</v>
      </c>
      <c r="EJ10" s="18">
        <f t="shared" si="20"/>
        <v>5.4006813172957279E-3</v>
      </c>
      <c r="EK10" s="18">
        <f t="shared" si="21"/>
        <v>-9.6529646108675371E-3</v>
      </c>
      <c r="EL10" s="18">
        <f t="shared" si="22"/>
        <v>-5.9334377215189311E-3</v>
      </c>
      <c r="EM10" s="6">
        <v>12.816979232997145</v>
      </c>
      <c r="EN10" s="6">
        <v>13.095547456073282</v>
      </c>
      <c r="EO10" s="6">
        <v>15.301617119504066</v>
      </c>
      <c r="EP10" s="6">
        <v>12.735600472096804</v>
      </c>
      <c r="EQ10" s="14">
        <v>60477.1</v>
      </c>
      <c r="ER10" s="14"/>
      <c r="ES10" s="15">
        <v>103208</v>
      </c>
      <c r="ET10" s="15">
        <v>40451.066003008054</v>
      </c>
      <c r="EU10" s="14">
        <v>0</v>
      </c>
      <c r="EX10" s="16"/>
      <c r="EY10" s="16"/>
      <c r="FA10" s="17"/>
      <c r="FB10" s="17"/>
      <c r="FC10" s="17"/>
      <c r="GJ10" s="6">
        <v>0.39092622655748321</v>
      </c>
    </row>
    <row r="11" spans="1:195" ht="15">
      <c r="A11" s="12">
        <v>1919</v>
      </c>
      <c r="B11" s="13"/>
      <c r="C11" s="15">
        <f t="shared" si="0"/>
        <v>265124.78554540907</v>
      </c>
      <c r="D11" s="15">
        <v>58089.137718404854</v>
      </c>
      <c r="E11" s="15">
        <v>1847.3373151233232</v>
      </c>
      <c r="F11" s="15">
        <v>47748.419384328401</v>
      </c>
      <c r="G11" s="15">
        <v>0</v>
      </c>
      <c r="H11" s="15">
        <v>2355.0303382252337</v>
      </c>
      <c r="I11" s="15">
        <v>97474.89854569544</v>
      </c>
      <c r="L11" s="15">
        <v>0</v>
      </c>
      <c r="M11" s="15">
        <v>18580.090128074455</v>
      </c>
      <c r="N11" s="15">
        <v>-6494.1163127638947</v>
      </c>
      <c r="O11" s="15">
        <v>-3240.9479651446036</v>
      </c>
      <c r="P11" s="15">
        <v>36098.326937560312</v>
      </c>
      <c r="Q11" s="15">
        <v>0</v>
      </c>
      <c r="R11" s="15">
        <v>6606.4558771553911</v>
      </c>
      <c r="S11" s="15">
        <v>2.6689004115019836E-2</v>
      </c>
      <c r="T11" s="15">
        <v>-6453.1955631229575</v>
      </c>
      <c r="U11" s="15">
        <v>9272.4011767284992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69884.173922103524</v>
      </c>
      <c r="AB11" s="15">
        <v>808.50000000000011</v>
      </c>
      <c r="AC11" s="15">
        <v>3461.2460483793025</v>
      </c>
      <c r="AD11" s="15">
        <v>634.81515895804887</v>
      </c>
      <c r="AE11" s="15">
        <v>0</v>
      </c>
      <c r="AF11" s="15">
        <v>1164.9943945631055</v>
      </c>
      <c r="AG11" s="15">
        <v>1517.5041023959357</v>
      </c>
      <c r="AH11" s="15">
        <v>21275.043542379215</v>
      </c>
      <c r="AI11" s="15">
        <v>5192.9651890122796</v>
      </c>
      <c r="AJ11" s="15">
        <v>3274.3688094922836</v>
      </c>
      <c r="AK11" s="15">
        <v>1918.5963795199966</v>
      </c>
      <c r="AL11" s="15">
        <f t="shared" si="1"/>
        <v>8757.2536194246877</v>
      </c>
      <c r="AM11" s="15">
        <v>8757.2536194246877</v>
      </c>
      <c r="AN11" s="15">
        <v>0</v>
      </c>
      <c r="AO11" s="15">
        <v>3588.9395547856216</v>
      </c>
      <c r="AP11" s="15">
        <v>3741.4776385991618</v>
      </c>
      <c r="AQ11" s="15"/>
      <c r="AR11" s="15"/>
      <c r="AS11" s="15">
        <v>403.51954804296736</v>
      </c>
      <c r="AT11" s="15">
        <v>26.581158503107122</v>
      </c>
      <c r="AU11" s="15">
        <f t="shared" si="2"/>
        <v>376.93838953986022</v>
      </c>
      <c r="AV11" s="15">
        <v>-644.43975903614432</v>
      </c>
      <c r="AW11" s="15">
        <v>-399.48740740740732</v>
      </c>
      <c r="AX11" s="15">
        <v>48609.130379724302</v>
      </c>
      <c r="AY11" s="15">
        <v>36565.704830122195</v>
      </c>
      <c r="AZ11" s="15">
        <v>10383.738145137908</v>
      </c>
      <c r="BA11" s="15"/>
      <c r="BB11" s="15"/>
      <c r="BC11" s="15">
        <v>1659.6874044642043</v>
      </c>
      <c r="BD11" s="15">
        <v>0</v>
      </c>
      <c r="BE11" s="15">
        <f t="shared" si="3"/>
        <v>2294.5025634222529</v>
      </c>
      <c r="BF11" s="15">
        <v>35919.858658597324</v>
      </c>
      <c r="BG11" s="15">
        <v>645.84617152486601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69358.276228661838</v>
      </c>
      <c r="BP11" s="15">
        <v>513.95210276297189</v>
      </c>
      <c r="BQ11" s="15">
        <v>11.945590678715359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409.73245672658061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81.505918811201511</v>
      </c>
      <c r="CG11" s="15">
        <v>81.505918811201511</v>
      </c>
      <c r="CH11" s="15">
        <v>7896.2977738236286</v>
      </c>
      <c r="CI11" s="15"/>
      <c r="CJ11" s="15">
        <v>0</v>
      </c>
      <c r="CK11" s="15">
        <v>728.23752969121142</v>
      </c>
      <c r="CL11" s="15">
        <v>7482.5739169459894</v>
      </c>
      <c r="CM11" s="15">
        <v>8387.5361493614109</v>
      </c>
      <c r="CN11" s="15">
        <v>-903.72329578102585</v>
      </c>
      <c r="CO11" s="15">
        <v>0</v>
      </c>
      <c r="CP11" s="15">
        <v>513.95210276297189</v>
      </c>
      <c r="CQ11" s="15">
        <v>0</v>
      </c>
      <c r="CR11" s="15">
        <v>513.95210276297189</v>
      </c>
      <c r="CS11" s="15">
        <v>488.25449762482327</v>
      </c>
      <c r="CT11" s="15">
        <v>25.697605138148617</v>
      </c>
      <c r="CU11" s="15">
        <v>0</v>
      </c>
      <c r="CV11" s="15">
        <v>-2427.3827724704802</v>
      </c>
      <c r="CW11" s="15">
        <v>1128</v>
      </c>
      <c r="CX11" s="15">
        <v>403.85815627171905</v>
      </c>
      <c r="CY11" s="15">
        <v>0</v>
      </c>
      <c r="CZ11" s="15">
        <v>165.21470029297598</v>
      </c>
      <c r="DA11" s="19">
        <v>0</v>
      </c>
      <c r="DB11" s="19">
        <v>0</v>
      </c>
      <c r="DC11" s="19">
        <v>0</v>
      </c>
      <c r="DD11" s="19">
        <v>1.0359841210909604E-2</v>
      </c>
      <c r="DE11" s="19">
        <v>0.10732389104001738</v>
      </c>
      <c r="DF11" s="19">
        <v>0.35834193712358187</v>
      </c>
      <c r="DG11" s="19">
        <v>0.52397433062549115</v>
      </c>
      <c r="DH11" s="15">
        <v>0</v>
      </c>
      <c r="DI11" s="15">
        <v>70263.238461077257</v>
      </c>
      <c r="DJ11" s="15">
        <v>62366.940687253627</v>
      </c>
      <c r="DK11" s="15">
        <v>69155.936392412317</v>
      </c>
      <c r="DL11" s="18">
        <v>0.14615856092964635</v>
      </c>
      <c r="DM11" s="15">
        <v>53163.650809030129</v>
      </c>
      <c r="DN11" s="15">
        <v>38088.458579800172</v>
      </c>
      <c r="DO11" s="15">
        <v>9771.4585255938709</v>
      </c>
      <c r="DP11" s="15">
        <v>1558.8934708062343</v>
      </c>
      <c r="DQ11" s="15">
        <v>2673.9359293256898</v>
      </c>
      <c r="DR11" s="15">
        <v>1070.9043035041661</v>
      </c>
      <c r="DS11" s="15">
        <v>54237.824286032417</v>
      </c>
      <c r="DT11" s="18">
        <f t="shared" si="4"/>
        <v>0.2191011210019656</v>
      </c>
      <c r="DU11" s="18">
        <f t="shared" si="5"/>
        <v>0.19594843586881136</v>
      </c>
      <c r="DV11" s="18">
        <f t="shared" si="6"/>
        <v>3.4973724382854329E-2</v>
      </c>
      <c r="DW11" s="18">
        <f t="shared" si="7"/>
        <v>-2.4340219832135201E-2</v>
      </c>
      <c r="DX11" s="18">
        <f t="shared" si="8"/>
        <v>7.0080547504647248E-2</v>
      </c>
      <c r="DY11" s="18">
        <f t="shared" si="9"/>
        <v>0.13615598731480197</v>
      </c>
      <c r="DZ11" s="18">
        <f t="shared" si="10"/>
        <v>-2.4494565075854135E-2</v>
      </c>
      <c r="EA11" s="18">
        <f t="shared" si="11"/>
        <v>0.36765668040116334</v>
      </c>
      <c r="EB11" s="18">
        <f t="shared" si="12"/>
        <v>2.491828843374538E-2</v>
      </c>
      <c r="EC11" s="18">
        <f t="shared" si="13"/>
        <v>0.54743415571199272</v>
      </c>
      <c r="ED11" s="18">
        <f t="shared" si="14"/>
        <v>0.15545749633507033</v>
      </c>
      <c r="EE11" s="18">
        <f t="shared" si="15"/>
        <v>4.734761728787093E-2</v>
      </c>
      <c r="EF11" s="18">
        <f t="shared" si="16"/>
        <v>2.7743046795480918E-2</v>
      </c>
      <c r="EG11" s="18">
        <f t="shared" si="17"/>
        <v>0.12663054072080385</v>
      </c>
      <c r="EH11" s="18">
        <f t="shared" si="18"/>
        <v>4.136596472155183E-2</v>
      </c>
      <c r="EI11" s="18">
        <f t="shared" si="19"/>
        <v>5.4102045808025107E-2</v>
      </c>
      <c r="EJ11" s="18">
        <f t="shared" si="20"/>
        <v>5.8349227715357912E-3</v>
      </c>
      <c r="EK11" s="18">
        <f t="shared" si="21"/>
        <v>-9.3186469976979623E-3</v>
      </c>
      <c r="EL11" s="18">
        <f t="shared" si="22"/>
        <v>-5.7766177171051716E-3</v>
      </c>
      <c r="EM11" s="6">
        <v>11.234843910736169</v>
      </c>
      <c r="EN11" s="6">
        <v>11.479025511397129</v>
      </c>
      <c r="EO11" s="6">
        <v>13.322450426440801</v>
      </c>
      <c r="EP11" s="6">
        <v>11.163510591102581</v>
      </c>
      <c r="EQ11" s="14">
        <v>61757.5</v>
      </c>
      <c r="ER11" s="14"/>
      <c r="ES11" s="15">
        <v>104514</v>
      </c>
      <c r="ET11" s="15">
        <v>41052.355021208234</v>
      </c>
      <c r="EU11" s="14">
        <v>0</v>
      </c>
      <c r="EX11" s="16"/>
      <c r="EY11" s="16"/>
      <c r="FA11" s="17"/>
      <c r="FB11" s="17"/>
      <c r="FC11" s="17"/>
      <c r="GJ11" s="6">
        <v>0.30253420554631483</v>
      </c>
    </row>
    <row r="12" spans="1:195" ht="15">
      <c r="A12" s="12">
        <v>1920</v>
      </c>
      <c r="B12" s="13"/>
      <c r="C12" s="15">
        <f t="shared" si="0"/>
        <v>272945.53212831996</v>
      </c>
      <c r="D12" s="15">
        <v>57221.109355252695</v>
      </c>
      <c r="E12" s="15">
        <v>2016.8178027493163</v>
      </c>
      <c r="F12" s="15">
        <v>51527.005384941251</v>
      </c>
      <c r="G12" s="15">
        <v>0</v>
      </c>
      <c r="H12" s="15">
        <v>2541.396395610519</v>
      </c>
      <c r="I12" s="15">
        <v>98011.211275262001</v>
      </c>
      <c r="L12" s="15">
        <v>0</v>
      </c>
      <c r="M12" s="15">
        <v>19878.963274903068</v>
      </c>
      <c r="N12" s="15">
        <v>-6906.9452226217463</v>
      </c>
      <c r="O12" s="15">
        <v>-3446.973997158686</v>
      </c>
      <c r="P12" s="15">
        <v>38587.866726357577</v>
      </c>
      <c r="Q12" s="15">
        <v>0</v>
      </c>
      <c r="R12" s="15">
        <v>7049.4996743160982</v>
      </c>
      <c r="S12" s="15">
        <v>2.662469608679922E-2</v>
      </c>
      <c r="T12" s="15">
        <v>-6901.8134364951429</v>
      </c>
      <c r="U12" s="15">
        <v>9920.4208980443091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80682.33334237519</v>
      </c>
      <c r="AB12" s="15">
        <v>892.4</v>
      </c>
      <c r="AC12" s="15">
        <v>3935.9496894370691</v>
      </c>
      <c r="AD12" s="15">
        <v>766.18478685457103</v>
      </c>
      <c r="AE12" s="15">
        <v>0</v>
      </c>
      <c r="AF12" s="15">
        <v>1242.6606875339792</v>
      </c>
      <c r="AG12" s="15">
        <v>1618.6710425556646</v>
      </c>
      <c r="AH12" s="15">
        <v>23545.527245980793</v>
      </c>
      <c r="AI12" s="15">
        <v>5582.2470396602675</v>
      </c>
      <c r="AJ12" s="15">
        <v>3519.8263281677841</v>
      </c>
      <c r="AK12" s="15">
        <v>2062.4207114924834</v>
      </c>
      <c r="AL12" s="15">
        <f t="shared" si="1"/>
        <v>9555.4942087334621</v>
      </c>
      <c r="AM12" s="15">
        <v>9555.4942087334621</v>
      </c>
      <c r="AN12" s="15">
        <v>0</v>
      </c>
      <c r="AO12" s="15">
        <v>4064.2841964601544</v>
      </c>
      <c r="AP12" s="15">
        <v>4234.863385671586</v>
      </c>
      <c r="AQ12" s="15"/>
      <c r="AR12" s="15"/>
      <c r="AS12" s="15">
        <v>453.85746617326652</v>
      </c>
      <c r="AT12" s="15">
        <v>31.342947429994563</v>
      </c>
      <c r="AU12" s="15">
        <f t="shared" si="2"/>
        <v>422.51451874327194</v>
      </c>
      <c r="AV12" s="15">
        <v>-684.14457831325285</v>
      </c>
      <c r="AW12" s="15">
        <v>-427.25925925925924</v>
      </c>
      <c r="AX12" s="15">
        <v>57136.806096394379</v>
      </c>
      <c r="AY12" s="15">
        <v>43212.493201057187</v>
      </c>
      <c r="AZ12" s="15">
        <v>11807.849068311209</v>
      </c>
      <c r="BA12" s="15"/>
      <c r="BB12" s="15"/>
      <c r="BC12" s="15">
        <v>2116.4638270259943</v>
      </c>
      <c r="BD12" s="15">
        <v>0</v>
      </c>
      <c r="BE12" s="15">
        <f t="shared" si="3"/>
        <v>2882.6486138805653</v>
      </c>
      <c r="BF12" s="15">
        <v>42449.247328302765</v>
      </c>
      <c r="BG12" s="15">
        <v>763.24587275441763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80060.428292762139</v>
      </c>
      <c r="BP12" s="15">
        <v>607.37655268765661</v>
      </c>
      <c r="BQ12" s="15">
        <v>14.528496925388248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472.87415637878098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94.066364440940305</v>
      </c>
      <c r="CG12" s="15">
        <v>94.066364440940305</v>
      </c>
      <c r="CH12" s="15">
        <v>5614.1528580009244</v>
      </c>
      <c r="CI12" s="15"/>
      <c r="CJ12" s="15">
        <v>0</v>
      </c>
      <c r="CK12" s="15">
        <v>869.1417260490897</v>
      </c>
      <c r="CL12" s="15">
        <v>8563.1500056074037</v>
      </c>
      <c r="CM12" s="15">
        <v>6181.0933788206457</v>
      </c>
      <c r="CN12" s="15">
        <v>2383.4864893865565</v>
      </c>
      <c r="CO12" s="15">
        <v>0</v>
      </c>
      <c r="CP12" s="15">
        <v>607.37655268765661</v>
      </c>
      <c r="CQ12" s="15">
        <v>0</v>
      </c>
      <c r="CR12" s="15">
        <v>607.37655268765661</v>
      </c>
      <c r="CS12" s="15">
        <v>577.0077250532737</v>
      </c>
      <c r="CT12" s="15">
        <v>30.368827634382857</v>
      </c>
      <c r="CU12" s="15">
        <v>0</v>
      </c>
      <c r="CV12" s="15">
        <v>1096.0107949611634</v>
      </c>
      <c r="CW12" s="15">
        <v>1270</v>
      </c>
      <c r="CX12" s="15">
        <v>466.09459858123563</v>
      </c>
      <c r="CY12" s="15">
        <v>0</v>
      </c>
      <c r="CZ12" s="15">
        <v>190.67506305596001</v>
      </c>
      <c r="DA12" s="19">
        <v>0</v>
      </c>
      <c r="DB12" s="19">
        <v>0</v>
      </c>
      <c r="DC12" s="19">
        <v>8.4157481054492056E-4</v>
      </c>
      <c r="DD12" s="19">
        <v>1.4464233291906048E-2</v>
      </c>
      <c r="DE12" s="19">
        <v>0.13299272725562894</v>
      </c>
      <c r="DF12" s="19">
        <v>0.34390462725433923</v>
      </c>
      <c r="DG12" s="19">
        <v>0.50779683738758086</v>
      </c>
      <c r="DH12" s="15">
        <v>0</v>
      </c>
      <c r="DI12" s="15">
        <v>77678.371665975355</v>
      </c>
      <c r="DJ12" s="15">
        <v>72064.218807974437</v>
      </c>
      <c r="DK12" s="15">
        <v>79813.19161632609</v>
      </c>
      <c r="DL12" s="18">
        <v>8.4181662289054299E-2</v>
      </c>
      <c r="DM12" s="15">
        <v>56062.049220036817</v>
      </c>
      <c r="DN12" s="15">
        <v>41078.72043594456</v>
      </c>
      <c r="DO12" s="15">
        <v>9127.2041531530431</v>
      </c>
      <c r="DP12" s="15">
        <v>1709.3009029999998</v>
      </c>
      <c r="DQ12" s="15">
        <v>3099.4021289392126</v>
      </c>
      <c r="DR12" s="15">
        <v>1047.421599</v>
      </c>
      <c r="DS12" s="15">
        <v>57199.787188285401</v>
      </c>
      <c r="DT12" s="18">
        <f t="shared" si="4"/>
        <v>0.2096429602971164</v>
      </c>
      <c r="DU12" s="18">
        <f t="shared" si="5"/>
        <v>0.20548136159610678</v>
      </c>
      <c r="DV12" s="18">
        <f t="shared" si="6"/>
        <v>3.6345789655133166E-2</v>
      </c>
      <c r="DW12" s="18">
        <f t="shared" si="7"/>
        <v>-2.5286412943555315E-2</v>
      </c>
      <c r="DX12" s="18">
        <f t="shared" si="8"/>
        <v>7.2831246292602306E-2</v>
      </c>
      <c r="DY12" s="18">
        <f t="shared" si="9"/>
        <v>0.14137570388298665</v>
      </c>
      <c r="DZ12" s="18">
        <f t="shared" si="10"/>
        <v>-2.5305214446135656E-2</v>
      </c>
      <c r="EA12" s="18">
        <f t="shared" si="11"/>
        <v>0.35908706953731695</v>
      </c>
      <c r="EB12" s="18">
        <f t="shared" si="12"/>
        <v>2.5827496128428711E-2</v>
      </c>
      <c r="EC12" s="18">
        <f t="shared" si="13"/>
        <v>0.56224722227935042</v>
      </c>
      <c r="ED12" s="18">
        <f t="shared" si="14"/>
        <v>0.15363451279847401</v>
      </c>
      <c r="EE12" s="18">
        <f t="shared" si="15"/>
        <v>4.4100809112961104E-2</v>
      </c>
      <c r="EF12" s="18">
        <f t="shared" si="16"/>
        <v>2.5840599401247444E-2</v>
      </c>
      <c r="EG12" s="18">
        <f t="shared" si="17"/>
        <v>0.11972324393025337</v>
      </c>
      <c r="EH12" s="18">
        <f t="shared" si="18"/>
        <v>4.0032761573683094E-2</v>
      </c>
      <c r="EI12" s="18">
        <f t="shared" si="19"/>
        <v>5.3059692262767862E-2</v>
      </c>
      <c r="EJ12" s="18">
        <f t="shared" si="20"/>
        <v>5.6864968933334602E-3</v>
      </c>
      <c r="EK12" s="18">
        <f t="shared" si="21"/>
        <v>-8.5718233346943166E-3</v>
      </c>
      <c r="EL12" s="18">
        <f t="shared" si="22"/>
        <v>-5.3532411197532133E-3</v>
      </c>
      <c r="EM12" s="6">
        <v>9.7330303049210389</v>
      </c>
      <c r="EN12" s="6">
        <v>9.9445710203969444</v>
      </c>
      <c r="EO12" s="6">
        <v>11.501715534827222</v>
      </c>
      <c r="EP12" s="6">
        <v>9.6712324404148067</v>
      </c>
      <c r="EQ12" s="14">
        <v>63117.1</v>
      </c>
      <c r="ER12" s="14"/>
      <c r="ES12" s="15">
        <v>106461</v>
      </c>
      <c r="ET12" s="15">
        <v>41909</v>
      </c>
      <c r="EU12" s="14">
        <v>0</v>
      </c>
      <c r="EX12" s="16"/>
      <c r="EY12" s="16"/>
      <c r="FA12" s="17"/>
      <c r="FB12" s="17"/>
      <c r="FC12" s="17"/>
      <c r="GJ12" s="6">
        <v>0.30879335270635661</v>
      </c>
    </row>
    <row r="13" spans="1:195" ht="15">
      <c r="A13" s="12">
        <v>1921</v>
      </c>
      <c r="B13" s="13"/>
      <c r="C13" s="15">
        <f t="shared" si="0"/>
        <v>264317.98994457797</v>
      </c>
      <c r="D13" s="15">
        <v>54489.039042670061</v>
      </c>
      <c r="E13" s="15">
        <v>2186.2982903753095</v>
      </c>
      <c r="F13" s="15">
        <v>53948.495445565852</v>
      </c>
      <c r="G13" s="15">
        <v>0</v>
      </c>
      <c r="H13" s="15">
        <v>2660.8282559739114</v>
      </c>
      <c r="I13" s="15">
        <v>85474.717130580044</v>
      </c>
      <c r="L13" s="15">
        <v>0</v>
      </c>
      <c r="M13" s="15">
        <v>21177.836421731681</v>
      </c>
      <c r="N13" s="15">
        <v>-7319.774132479597</v>
      </c>
      <c r="O13" s="15">
        <v>-3653.0000291727688</v>
      </c>
      <c r="P13" s="15">
        <v>41077.406515154842</v>
      </c>
      <c r="Q13" s="15">
        <v>0</v>
      </c>
      <c r="R13" s="15">
        <v>7492.5434714768044</v>
      </c>
      <c r="S13" s="15">
        <v>2.6567993292533999E-2</v>
      </c>
      <c r="T13" s="15">
        <v>-7350.4313098673265</v>
      </c>
      <c r="U13" s="15">
        <v>10481.030813396368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64741.12370186943</v>
      </c>
      <c r="AB13" s="15">
        <v>526.40000000000009</v>
      </c>
      <c r="AC13" s="15">
        <v>3114.8582695180344</v>
      </c>
      <c r="AD13" s="15">
        <v>409.01031032879587</v>
      </c>
      <c r="AE13" s="15">
        <v>0</v>
      </c>
      <c r="AF13" s="15">
        <v>1320.3269805048528</v>
      </c>
      <c r="AG13" s="15">
        <v>1719.8379827153938</v>
      </c>
      <c r="AH13" s="15">
        <v>19262.451834875235</v>
      </c>
      <c r="AI13" s="15">
        <v>5850.7169815526086</v>
      </c>
      <c r="AJ13" s="15">
        <v>3689.1071864101032</v>
      </c>
      <c r="AK13" s="15">
        <v>2161.6097951425045</v>
      </c>
      <c r="AL13" s="15">
        <f t="shared" si="1"/>
        <v>5970.2523869511697</v>
      </c>
      <c r="AM13" s="15">
        <v>5970.2523869511697</v>
      </c>
      <c r="AN13" s="15">
        <v>0</v>
      </c>
      <c r="AO13" s="15">
        <v>4303.9642276134855</v>
      </c>
      <c r="AP13" s="15">
        <v>3432.4540717672085</v>
      </c>
      <c r="AQ13" s="15"/>
      <c r="AR13" s="15"/>
      <c r="AS13" s="15">
        <v>474.93436536344188</v>
      </c>
      <c r="AT13" s="15">
        <v>21.810798544380145</v>
      </c>
      <c r="AU13" s="15">
        <f t="shared" si="2"/>
        <v>453.12356681906175</v>
      </c>
      <c r="AV13" s="15">
        <v>-723.84939759036115</v>
      </c>
      <c r="AW13" s="15">
        <v>-455.03111111111104</v>
      </c>
      <c r="AX13" s="15">
        <v>45478.671866994191</v>
      </c>
      <c r="AY13" s="15">
        <v>34987.449496303678</v>
      </c>
      <c r="AZ13" s="15">
        <v>9344.5748085541036</v>
      </c>
      <c r="BA13" s="15"/>
      <c r="BB13" s="15"/>
      <c r="BC13" s="15">
        <v>1146.6475621364161</v>
      </c>
      <c r="BD13" s="15">
        <v>0</v>
      </c>
      <c r="BE13" s="15">
        <f t="shared" si="3"/>
        <v>1555.657872465212</v>
      </c>
      <c r="BF13" s="15">
        <v>34369.479449955958</v>
      </c>
      <c r="BG13" s="15">
        <v>617.97004634771474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64233.143453590514</v>
      </c>
      <c r="BP13" s="15">
        <v>491.7688124016546</v>
      </c>
      <c r="BQ13" s="15">
        <v>16.21143587724665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378.35189470529457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75.263548946752138</v>
      </c>
      <c r="CG13" s="15">
        <v>75.263548946752138</v>
      </c>
      <c r="CH13" s="15">
        <v>4734.309033940398</v>
      </c>
      <c r="CI13" s="15"/>
      <c r="CJ13" s="15">
        <v>0</v>
      </c>
      <c r="CK13" s="15">
        <v>881.69754552652432</v>
      </c>
      <c r="CL13" s="15">
        <v>6722.7115783317013</v>
      </c>
      <c r="CM13" s="15">
        <v>5187.9244775924444</v>
      </c>
      <c r="CN13" s="15">
        <v>1535.9311497774711</v>
      </c>
      <c r="CO13" s="15">
        <v>0</v>
      </c>
      <c r="CP13" s="15">
        <v>491.7688124016546</v>
      </c>
      <c r="CQ13" s="15">
        <v>0</v>
      </c>
      <c r="CR13" s="15">
        <v>491.7688124016546</v>
      </c>
      <c r="CS13" s="15">
        <v>467.18037178157186</v>
      </c>
      <c r="CT13" s="15">
        <v>24.588440620082753</v>
      </c>
      <c r="CU13" s="15">
        <v>0</v>
      </c>
      <c r="CV13" s="15">
        <v>1242.3398560468436</v>
      </c>
      <c r="CW13" s="15">
        <v>1075</v>
      </c>
      <c r="CX13" s="15">
        <v>372.92749478120425</v>
      </c>
      <c r="CY13" s="15">
        <v>0</v>
      </c>
      <c r="CZ13" s="15">
        <v>152.56124786503807</v>
      </c>
      <c r="DA13" s="19">
        <v>0</v>
      </c>
      <c r="DB13" s="19">
        <v>0</v>
      </c>
      <c r="DC13" s="19">
        <v>1.6831496210897301E-3</v>
      </c>
      <c r="DD13" s="19">
        <v>1.5582620655797963E-2</v>
      </c>
      <c r="DE13" s="19">
        <v>0.13220095222866746</v>
      </c>
      <c r="DF13" s="19">
        <v>0.33065269899428584</v>
      </c>
      <c r="DG13" s="19">
        <v>0.51988057850015901</v>
      </c>
      <c r="DH13" s="15">
        <v>0</v>
      </c>
      <c r="DI13" s="15">
        <v>62698.356352851253</v>
      </c>
      <c r="DJ13" s="15">
        <v>57964.04731891086</v>
      </c>
      <c r="DK13" s="15">
        <v>63859.426156342903</v>
      </c>
      <c r="DL13" s="18">
        <v>5.5530313095668263E-2</v>
      </c>
      <c r="DM13" s="15">
        <v>45161.887414010263</v>
      </c>
      <c r="DN13" s="15">
        <v>33180.277467199448</v>
      </c>
      <c r="DO13" s="15">
        <v>6636.3619468108327</v>
      </c>
      <c r="DP13" s="15">
        <v>1690.338</v>
      </c>
      <c r="DQ13" s="15">
        <v>2476.9519999999998</v>
      </c>
      <c r="DR13" s="15">
        <v>1177.9580000000001</v>
      </c>
      <c r="DS13" s="15">
        <v>45615.62560300617</v>
      </c>
      <c r="DT13" s="18">
        <f t="shared" si="4"/>
        <v>0.20614956649032964</v>
      </c>
      <c r="DU13" s="18">
        <f t="shared" si="5"/>
        <v>0.22244275542592956</v>
      </c>
      <c r="DV13" s="18">
        <f t="shared" si="6"/>
        <v>3.9653111827893453E-2</v>
      </c>
      <c r="DW13" s="18">
        <f t="shared" si="7"/>
        <v>-2.7809046638893404E-2</v>
      </c>
      <c r="DX13" s="18">
        <f t="shared" si="8"/>
        <v>8.0122569130357854E-2</v>
      </c>
      <c r="DY13" s="18">
        <f t="shared" si="9"/>
        <v>0.15540904545985662</v>
      </c>
      <c r="DZ13" s="18">
        <f t="shared" si="10"/>
        <v>-2.7693060672920534E-2</v>
      </c>
      <c r="EA13" s="18">
        <f t="shared" si="11"/>
        <v>0.32337835630674372</v>
      </c>
      <c r="EB13" s="18">
        <f t="shared" si="12"/>
        <v>2.8346702670702953E-2</v>
      </c>
      <c r="EC13" s="18">
        <f t="shared" si="13"/>
        <v>0.56205327613036193</v>
      </c>
      <c r="ED13" s="18">
        <f t="shared" si="14"/>
        <v>0.15011522591116447</v>
      </c>
      <c r="EE13" s="18">
        <f t="shared" si="15"/>
        <v>5.7769187862388563E-2</v>
      </c>
      <c r="EF13" s="18">
        <f t="shared" si="16"/>
        <v>3.3849502340506085E-2</v>
      </c>
      <c r="EG13" s="18">
        <f t="shared" si="17"/>
        <v>9.3490542372469607E-2</v>
      </c>
      <c r="EH13" s="18">
        <f t="shared" si="18"/>
        <v>5.3590626914004007E-2</v>
      </c>
      <c r="EI13" s="18">
        <f t="shared" si="19"/>
        <v>5.3750155276430969E-2</v>
      </c>
      <c r="EJ13" s="18">
        <f t="shared" si="20"/>
        <v>7.4371849850434109E-3</v>
      </c>
      <c r="EK13" s="18">
        <f t="shared" si="21"/>
        <v>-1.1335043879320298E-2</v>
      </c>
      <c r="EL13" s="18">
        <f t="shared" si="22"/>
        <v>-7.125512058268231E-3</v>
      </c>
      <c r="EM13" s="6">
        <v>11.183442664085742</v>
      </c>
      <c r="EN13" s="6">
        <v>11.426507094024723</v>
      </c>
      <c r="EO13" s="6">
        <v>12.8750547031648</v>
      </c>
      <c r="EP13" s="6">
        <v>11.112435706045249</v>
      </c>
      <c r="EQ13" s="14">
        <v>64360</v>
      </c>
      <c r="ER13" s="14"/>
      <c r="ES13" s="15">
        <v>108538</v>
      </c>
      <c r="ET13" s="15">
        <v>42835.194914792832</v>
      </c>
      <c r="EU13" s="14">
        <v>0</v>
      </c>
      <c r="EX13" s="16"/>
      <c r="EY13" s="16"/>
      <c r="FA13" s="17"/>
      <c r="FB13" s="17"/>
      <c r="FC13" s="17"/>
      <c r="GJ13" s="6">
        <v>0.45532089746746429</v>
      </c>
    </row>
    <row r="14" spans="1:195" ht="15">
      <c r="A14" s="12">
        <v>1922</v>
      </c>
      <c r="B14" s="13"/>
      <c r="C14" s="15">
        <f t="shared" si="0"/>
        <v>279534.58844375296</v>
      </c>
      <c r="D14" s="15">
        <v>65465.408981979293</v>
      </c>
      <c r="E14" s="15">
        <v>2355.7787780013023</v>
      </c>
      <c r="F14" s="15">
        <v>57031.652003972471</v>
      </c>
      <c r="G14" s="15">
        <v>0</v>
      </c>
      <c r="H14" s="15">
        <v>2812.8945929578076</v>
      </c>
      <c r="I14" s="15">
        <v>81722.160692530844</v>
      </c>
      <c r="L14" s="15">
        <v>0</v>
      </c>
      <c r="M14" s="15">
        <v>22476.709568560287</v>
      </c>
      <c r="N14" s="15">
        <v>-7732.6030423374496</v>
      </c>
      <c r="O14" s="15">
        <v>-3859.0260611868512</v>
      </c>
      <c r="P14" s="15">
        <v>43566.9463039521</v>
      </c>
      <c r="Q14" s="15">
        <v>0</v>
      </c>
      <c r="R14" s="15">
        <v>7935.5872686375114</v>
      </c>
      <c r="S14" s="15">
        <v>2.6517621931704125E-2</v>
      </c>
      <c r="T14" s="15">
        <v>-7799.0491832395101</v>
      </c>
      <c r="U14" s="15">
        <v>11699.102478738347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66222.548726224923</v>
      </c>
      <c r="AB14" s="15">
        <v>504.625</v>
      </c>
      <c r="AC14" s="15">
        <v>3291.3840101699407</v>
      </c>
      <c r="AD14" s="15">
        <v>366.14682643885072</v>
      </c>
      <c r="AE14" s="15">
        <v>0</v>
      </c>
      <c r="AF14" s="15">
        <v>1397.9932734757265</v>
      </c>
      <c r="AG14" s="15">
        <v>1821.0049228751229</v>
      </c>
      <c r="AH14" s="15">
        <v>18802.412233562209</v>
      </c>
      <c r="AI14" s="15">
        <v>6331.9209366885843</v>
      </c>
      <c r="AJ14" s="15">
        <v>3992.5252075891085</v>
      </c>
      <c r="AK14" s="15">
        <v>2339.3957290994763</v>
      </c>
      <c r="AL14" s="15">
        <f t="shared" si="1"/>
        <v>4819.0028893798044</v>
      </c>
      <c r="AM14" s="15">
        <v>4819.0028893798044</v>
      </c>
      <c r="AN14" s="15">
        <v>0</v>
      </c>
      <c r="AO14" s="15">
        <v>4425.8823141635512</v>
      </c>
      <c r="AP14" s="15">
        <v>3627.6619184337719</v>
      </c>
      <c r="AQ14" s="15"/>
      <c r="AR14" s="15"/>
      <c r="AS14" s="15">
        <v>478.15452828807838</v>
      </c>
      <c r="AT14" s="15">
        <v>15.490268575826986</v>
      </c>
      <c r="AU14" s="15">
        <f t="shared" si="2"/>
        <v>462.66425971225141</v>
      </c>
      <c r="AV14" s="15">
        <v>-763.55421686746979</v>
      </c>
      <c r="AW14" s="15">
        <v>-482.80296296296291</v>
      </c>
      <c r="AX14" s="15">
        <v>47420.136492662728</v>
      </c>
      <c r="AY14" s="15">
        <v>36431.804190447008</v>
      </c>
      <c r="AZ14" s="15">
        <v>9874.1520305098202</v>
      </c>
      <c r="BA14" s="15"/>
      <c r="BB14" s="15"/>
      <c r="BC14" s="15">
        <v>1114.1802717058929</v>
      </c>
      <c r="BD14" s="15">
        <v>0</v>
      </c>
      <c r="BE14" s="15">
        <f t="shared" si="3"/>
        <v>1480.3270981447436</v>
      </c>
      <c r="BF14" s="15">
        <v>35788.323055119326</v>
      </c>
      <c r="BG14" s="15">
        <v>643.48113532768275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65693.255585551815</v>
      </c>
      <c r="BP14" s="15">
        <v>512.07005192758265</v>
      </c>
      <c r="BQ14" s="15">
        <v>17.223088745542931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386.87275218774579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76.958558230895676</v>
      </c>
      <c r="CG14" s="15">
        <v>76.958558230895676</v>
      </c>
      <c r="CH14" s="15">
        <v>4529.2742112844844</v>
      </c>
      <c r="CI14" s="15"/>
      <c r="CJ14" s="15">
        <v>0</v>
      </c>
      <c r="CK14" s="15">
        <v>924.94536817102153</v>
      </c>
      <c r="CL14" s="15">
        <v>6460.2735614230178</v>
      </c>
      <c r="CM14" s="15">
        <v>4993.1055217031262</v>
      </c>
      <c r="CN14" s="15">
        <v>1468.3378538697486</v>
      </c>
      <c r="CO14" s="15">
        <v>0</v>
      </c>
      <c r="CP14" s="15">
        <v>512.07005192758265</v>
      </c>
      <c r="CQ14" s="15">
        <v>0</v>
      </c>
      <c r="CR14" s="15">
        <v>512.07005192758265</v>
      </c>
      <c r="CS14" s="15">
        <v>486.46654933120351</v>
      </c>
      <c r="CT14" s="15">
        <v>25.603502596379158</v>
      </c>
      <c r="CU14" s="15">
        <v>0</v>
      </c>
      <c r="CV14" s="15">
        <v>644.94933056428397</v>
      </c>
      <c r="CW14" s="15">
        <v>719</v>
      </c>
      <c r="CX14" s="15">
        <v>381.32618943236582</v>
      </c>
      <c r="CY14" s="15">
        <v>0</v>
      </c>
      <c r="CZ14" s="15">
        <v>155.99707749505876</v>
      </c>
      <c r="DA14" s="19">
        <v>0</v>
      </c>
      <c r="DB14" s="19">
        <v>0</v>
      </c>
      <c r="DC14" s="19">
        <v>2.5247244316346507E-3</v>
      </c>
      <c r="DD14" s="19">
        <v>1.6701008019689656E-2</v>
      </c>
      <c r="DE14" s="19">
        <v>0.13140917720170597</v>
      </c>
      <c r="DF14" s="19">
        <v>0.31740077073423245</v>
      </c>
      <c r="DG14" s="19">
        <v>0.53196431961273727</v>
      </c>
      <c r="DH14" s="15">
        <v>0</v>
      </c>
      <c r="DI14" s="15">
        <v>64226.087545831928</v>
      </c>
      <c r="DJ14" s="15">
        <v>59696.813334547442</v>
      </c>
      <c r="DK14" s="15">
        <v>65297.603358053908</v>
      </c>
      <c r="DL14" s="18">
        <v>9.4424380026272889E-2</v>
      </c>
      <c r="DM14" s="15">
        <v>48546.747408196876</v>
      </c>
      <c r="DN14" s="15">
        <v>35104.995551073502</v>
      </c>
      <c r="DO14" s="15">
        <v>7431.6284220286134</v>
      </c>
      <c r="DP14" s="15">
        <v>1772.560761</v>
      </c>
      <c r="DQ14" s="15">
        <v>2754.7098240947571</v>
      </c>
      <c r="DR14" s="15">
        <v>1482.85285</v>
      </c>
      <c r="DS14" s="15">
        <v>49599.872927548247</v>
      </c>
      <c r="DT14" s="18">
        <f t="shared" si="4"/>
        <v>0.23419430613736744</v>
      </c>
      <c r="DU14" s="18">
        <f t="shared" si="5"/>
        <v>0.22251387823316657</v>
      </c>
      <c r="DV14" s="18">
        <f t="shared" si="6"/>
        <v>4.1852074706999635E-2</v>
      </c>
      <c r="DW14" s="18">
        <f t="shared" si="7"/>
        <v>-2.7900122223367751E-2</v>
      </c>
      <c r="DX14" s="18">
        <f t="shared" si="8"/>
        <v>8.0407615006409042E-2</v>
      </c>
      <c r="DY14" s="18">
        <f t="shared" si="9"/>
        <v>0.15585529700099526</v>
      </c>
      <c r="DZ14" s="18">
        <f t="shared" si="10"/>
        <v>-2.7662419471547361E-2</v>
      </c>
      <c r="EA14" s="18">
        <f t="shared" si="11"/>
        <v>0.29235080047696749</v>
      </c>
      <c r="EB14" s="18">
        <f t="shared" si="12"/>
        <v>2.8388570133009799E-2</v>
      </c>
      <c r="EC14" s="18">
        <f t="shared" si="13"/>
        <v>0.57135940481894987</v>
      </c>
      <c r="ED14" s="18">
        <f t="shared" si="14"/>
        <v>0.15485616901518304</v>
      </c>
      <c r="EE14" s="18">
        <f t="shared" si="15"/>
        <v>6.114351832633784E-2</v>
      </c>
      <c r="EF14" s="18">
        <f t="shared" si="16"/>
        <v>3.5826670640139682E-2</v>
      </c>
      <c r="EG14" s="18">
        <f t="shared" si="17"/>
        <v>7.3800608928251285E-2</v>
      </c>
      <c r="EH14" s="18">
        <f t="shared" si="18"/>
        <v>5.3615090997987121E-2</v>
      </c>
      <c r="EI14" s="18">
        <f t="shared" si="19"/>
        <v>5.5555820303875368E-2</v>
      </c>
      <c r="EJ14" s="18">
        <f t="shared" si="20"/>
        <v>7.322696449763375E-3</v>
      </c>
      <c r="EK14" s="18">
        <f t="shared" si="21"/>
        <v>-1.1693449339642446E-2</v>
      </c>
      <c r="EL14" s="18">
        <f t="shared" si="22"/>
        <v>-7.3938848921537527E-3</v>
      </c>
      <c r="EM14" s="6">
        <v>12.032818056294788</v>
      </c>
      <c r="EN14" s="6">
        <v>12.294343075849387</v>
      </c>
      <c r="EO14" s="6">
        <v>13.747070360351261</v>
      </c>
      <c r="EP14" s="6">
        <v>11.956418164732231</v>
      </c>
      <c r="EQ14" s="14">
        <v>65237.2</v>
      </c>
      <c r="ER14" s="14"/>
      <c r="ES14" s="15">
        <v>110049</v>
      </c>
      <c r="ET14" s="15">
        <v>43542.908902835123</v>
      </c>
      <c r="EU14" s="14">
        <v>0</v>
      </c>
      <c r="EX14" s="16"/>
      <c r="EY14" s="16"/>
      <c r="FA14" s="17"/>
      <c r="FB14" s="17"/>
      <c r="FC14" s="17"/>
      <c r="GJ14" s="6">
        <v>0.5805322204253297</v>
      </c>
    </row>
    <row r="15" spans="1:195" ht="15">
      <c r="A15" s="12">
        <v>1923</v>
      </c>
      <c r="B15" s="13"/>
      <c r="C15" s="15">
        <f t="shared" si="0"/>
        <v>293773.7395070903</v>
      </c>
      <c r="D15" s="15">
        <v>72204.039297750787</v>
      </c>
      <c r="E15" s="15">
        <v>2527.6804154505235</v>
      </c>
      <c r="F15" s="15">
        <v>59900.435378852577</v>
      </c>
      <c r="G15" s="15">
        <v>0</v>
      </c>
      <c r="H15" s="15">
        <v>2954.3876930174983</v>
      </c>
      <c r="I15" s="15">
        <v>81517.349173234528</v>
      </c>
      <c r="L15" s="15">
        <v>0</v>
      </c>
      <c r="M15" s="15">
        <v>24127.205590469352</v>
      </c>
      <c r="N15" s="15">
        <v>-8627.0656803627971</v>
      </c>
      <c r="O15" s="15">
        <v>-4305.4157972173643</v>
      </c>
      <c r="P15" s="15">
        <v>47035.80362033884</v>
      </c>
      <c r="Q15" s="15">
        <v>0</v>
      </c>
      <c r="R15" s="15">
        <v>8832.9817654262715</v>
      </c>
      <c r="S15" s="15">
        <v>2.6288258175417113E-2</v>
      </c>
      <c r="T15" s="15">
        <v>-8879.9224660620512</v>
      </c>
      <c r="U15" s="15">
        <v>12180.844718974768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77990.640535110113</v>
      </c>
      <c r="AB15" s="15">
        <v>946.125</v>
      </c>
      <c r="AC15" s="15">
        <v>3463.2807963549735</v>
      </c>
      <c r="AD15" s="15">
        <v>537.16067967012475</v>
      </c>
      <c r="AE15" s="15">
        <v>0</v>
      </c>
      <c r="AF15" s="15">
        <v>1536.7631988139474</v>
      </c>
      <c r="AG15" s="15">
        <v>2001.7645316532414</v>
      </c>
      <c r="AH15" s="15">
        <v>23460.489811949352</v>
      </c>
      <c r="AI15" s="15">
        <v>6829.4276700802602</v>
      </c>
      <c r="AJ15" s="15">
        <v>4306.2227717046771</v>
      </c>
      <c r="AK15" s="15">
        <v>2523.2048983755835</v>
      </c>
      <c r="AL15" s="15">
        <f t="shared" si="1"/>
        <v>8511.7719218519233</v>
      </c>
      <c r="AM15" s="15">
        <v>8511.7719218519233</v>
      </c>
      <c r="AN15" s="15">
        <v>0</v>
      </c>
      <c r="AO15" s="15">
        <v>4651.6298205083976</v>
      </c>
      <c r="AP15" s="15">
        <v>3832.9388796940716</v>
      </c>
      <c r="AQ15" s="15"/>
      <c r="AR15" s="15"/>
      <c r="AS15" s="15">
        <v>543.17926941722055</v>
      </c>
      <c r="AT15" s="15">
        <v>27.373329754311804</v>
      </c>
      <c r="AU15" s="15">
        <f t="shared" si="2"/>
        <v>515.80593966290871</v>
      </c>
      <c r="AV15" s="15">
        <v>-895.90361445783117</v>
      </c>
      <c r="AW15" s="15">
        <v>-549.71481481481476</v>
      </c>
      <c r="AX15" s="15">
        <v>54530.150723160754</v>
      </c>
      <c r="AY15" s="15">
        <v>42669.998697667288</v>
      </c>
      <c r="AZ15" s="15">
        <v>10389.842389064919</v>
      </c>
      <c r="BA15" s="15"/>
      <c r="BB15" s="15"/>
      <c r="BC15" s="15">
        <v>1470.3096364285477</v>
      </c>
      <c r="BD15" s="15">
        <v>0</v>
      </c>
      <c r="BE15" s="15">
        <f t="shared" si="3"/>
        <v>2007.4703160986724</v>
      </c>
      <c r="BF15" s="15">
        <v>41916.334699505882</v>
      </c>
      <c r="BG15" s="15">
        <v>753.66399816140733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77366.659386828833</v>
      </c>
      <c r="BP15" s="15">
        <v>599.75147908249073</v>
      </c>
      <c r="BQ15" s="15">
        <v>24.229669198801883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456.57523015399096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90.824104923105736</v>
      </c>
      <c r="CG15" s="15">
        <v>90.824104923105736</v>
      </c>
      <c r="CH15" s="15">
        <v>5268.372818596943</v>
      </c>
      <c r="CI15" s="15"/>
      <c r="CJ15" s="15">
        <v>0</v>
      </c>
      <c r="CK15" s="15">
        <v>928.43309580364235</v>
      </c>
      <c r="CL15" s="15">
        <v>7987.2553106686264</v>
      </c>
      <c r="CM15" s="15">
        <v>5815.7721536740401</v>
      </c>
      <c r="CN15" s="15">
        <v>2172.8637353932681</v>
      </c>
      <c r="CO15" s="15">
        <v>0</v>
      </c>
      <c r="CP15" s="15">
        <v>599.75147908249073</v>
      </c>
      <c r="CQ15" s="15">
        <v>0</v>
      </c>
      <c r="CR15" s="15">
        <v>599.75147908249073</v>
      </c>
      <c r="CS15" s="15">
        <v>569.76390512836622</v>
      </c>
      <c r="CT15" s="15">
        <v>29.98757395412456</v>
      </c>
      <c r="CU15" s="15">
        <v>0</v>
      </c>
      <c r="CV15" s="15">
        <v>3106.0055187606181</v>
      </c>
      <c r="CW15" s="15">
        <v>861</v>
      </c>
      <c r="CX15" s="15">
        <v>450.02934871809134</v>
      </c>
      <c r="CY15" s="15">
        <v>0</v>
      </c>
      <c r="CZ15" s="15">
        <v>184.10291538467374</v>
      </c>
      <c r="DA15" s="19">
        <v>0</v>
      </c>
      <c r="DB15" s="19">
        <v>0</v>
      </c>
      <c r="DC15" s="19">
        <v>3.3662992421794602E-3</v>
      </c>
      <c r="DD15" s="19">
        <v>1.7819395383581571E-2</v>
      </c>
      <c r="DE15" s="19">
        <v>0.13061740217474449</v>
      </c>
      <c r="DF15" s="19">
        <v>0.30414884247417906</v>
      </c>
      <c r="DG15" s="19">
        <v>0.54404806072531542</v>
      </c>
      <c r="DH15" s="15">
        <v>0</v>
      </c>
      <c r="DI15" s="15">
        <v>75195.176229834251</v>
      </c>
      <c r="DJ15" s="15">
        <v>69926.803411237299</v>
      </c>
      <c r="DK15" s="15">
        <v>77062.207439306483</v>
      </c>
      <c r="DL15" s="18">
        <v>8.7303818869953559E-2</v>
      </c>
      <c r="DM15" s="15">
        <v>56061.234376513916</v>
      </c>
      <c r="DN15" s="15">
        <v>38660.994328053697</v>
      </c>
      <c r="DO15" s="15">
        <v>9680.9855076077693</v>
      </c>
      <c r="DP15" s="15">
        <v>2227.0790789999996</v>
      </c>
      <c r="DQ15" s="15">
        <v>3344.2148668524537</v>
      </c>
      <c r="DR15" s="15">
        <v>2147.9605950000005</v>
      </c>
      <c r="DS15" s="15">
        <v>57315.111374212662</v>
      </c>
      <c r="DT15" s="18">
        <f t="shared" si="4"/>
        <v>0.24578112195766269</v>
      </c>
      <c r="DU15" s="18">
        <f t="shared" si="5"/>
        <v>0.22256074895265637</v>
      </c>
      <c r="DV15" s="18">
        <f t="shared" si="6"/>
        <v>4.1463354551065243E-2</v>
      </c>
      <c r="DW15" s="18">
        <f t="shared" si="7"/>
        <v>-3.0227080476836605E-2</v>
      </c>
      <c r="DX15" s="18">
        <f t="shared" si="8"/>
        <v>8.2128530722151344E-2</v>
      </c>
      <c r="DY15" s="18">
        <f t="shared" si="9"/>
        <v>0.16010894540559714</v>
      </c>
      <c r="DZ15" s="18">
        <f t="shared" si="10"/>
        <v>-2.9366360978478747E-2</v>
      </c>
      <c r="EA15" s="18">
        <f t="shared" si="11"/>
        <v>0.27748344460607272</v>
      </c>
      <c r="EB15" s="18">
        <f t="shared" si="12"/>
        <v>3.0067295260109813E-2</v>
      </c>
      <c r="EC15" s="18">
        <f t="shared" si="13"/>
        <v>0.56905197840074939</v>
      </c>
      <c r="ED15" s="18">
        <f t="shared" si="14"/>
        <v>0.13856012531569589</v>
      </c>
      <c r="EE15" s="18">
        <f t="shared" si="15"/>
        <v>5.58798263739878E-2</v>
      </c>
      <c r="EF15" s="18">
        <f t="shared" si="16"/>
        <v>3.2742442530767593E-2</v>
      </c>
      <c r="EG15" s="18">
        <f t="shared" si="17"/>
        <v>0.11045325853863867</v>
      </c>
      <c r="EH15" s="18">
        <f t="shared" si="18"/>
        <v>4.8314171737646003E-2</v>
      </c>
      <c r="EI15" s="18">
        <f t="shared" si="19"/>
        <v>4.9738244037621948E-2</v>
      </c>
      <c r="EJ15" s="18">
        <f t="shared" si="20"/>
        <v>7.0485817557850751E-3</v>
      </c>
      <c r="EK15" s="18">
        <f t="shared" si="21"/>
        <v>-1.1625719587171662E-2</v>
      </c>
      <c r="EL15" s="18">
        <f t="shared" si="22"/>
        <v>-7.1333904527425499E-3</v>
      </c>
      <c r="EM15" s="6">
        <v>11.695603059501838</v>
      </c>
      <c r="EN15" s="6">
        <v>11.94979894317008</v>
      </c>
      <c r="EO15" s="6">
        <v>13.504949747350947</v>
      </c>
      <c r="EP15" s="6">
        <v>11.621344244873022</v>
      </c>
      <c r="EQ15" s="14">
        <v>66497.8</v>
      </c>
      <c r="ER15" s="14"/>
      <c r="ES15" s="15">
        <v>111947</v>
      </c>
      <c r="ET15" s="15">
        <v>44408.548690457501</v>
      </c>
      <c r="EU15" s="14">
        <v>0</v>
      </c>
      <c r="EX15" s="16"/>
      <c r="EY15" s="16"/>
      <c r="FA15" s="17"/>
      <c r="FB15" s="17"/>
      <c r="FC15" s="17"/>
      <c r="GJ15" s="6">
        <v>0.41396729078146266</v>
      </c>
    </row>
    <row r="16" spans="1:195" ht="15">
      <c r="A16" s="12">
        <v>1924</v>
      </c>
      <c r="B16" s="13"/>
      <c r="C16" s="15">
        <f t="shared" si="0"/>
        <v>306237.59181159502</v>
      </c>
      <c r="D16" s="15">
        <v>78154.210138701688</v>
      </c>
      <c r="E16" s="15">
        <v>2702.0032027229736</v>
      </c>
      <c r="F16" s="15">
        <v>62842.598162466551</v>
      </c>
      <c r="G16" s="15">
        <v>0</v>
      </c>
      <c r="H16" s="15">
        <v>3099.4999858378605</v>
      </c>
      <c r="I16" s="15">
        <v>80175.696885799611</v>
      </c>
      <c r="L16" s="15">
        <v>0</v>
      </c>
      <c r="M16" s="15">
        <v>26129.32448745886</v>
      </c>
      <c r="N16" s="15">
        <v>-10003.162046555635</v>
      </c>
      <c r="O16" s="15">
        <v>-4992.1692372643056</v>
      </c>
      <c r="P16" s="15">
        <v>51483.978464315049</v>
      </c>
      <c r="Q16" s="15">
        <v>0</v>
      </c>
      <c r="R16" s="15">
        <v>10184.726961843089</v>
      </c>
      <c r="S16" s="15">
        <v>2.5957912472489363E-2</v>
      </c>
      <c r="T16" s="15">
        <v>-10593.051158334953</v>
      </c>
      <c r="U16" s="15">
        <v>12061.766727339884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78676.315745396671</v>
      </c>
      <c r="AB16" s="15">
        <v>852.375</v>
      </c>
      <c r="AC16" s="15">
        <v>3664.5899269940392</v>
      </c>
      <c r="AD16" s="15">
        <v>462.61046308470708</v>
      </c>
      <c r="AE16" s="15">
        <v>0</v>
      </c>
      <c r="AF16" s="15">
        <v>1675.5331241521687</v>
      </c>
      <c r="AG16" s="15">
        <v>2182.5241404313601</v>
      </c>
      <c r="AH16" s="15">
        <v>23751.012980586591</v>
      </c>
      <c r="AI16" s="15">
        <v>7499.397780463687</v>
      </c>
      <c r="AJ16" s="15">
        <v>4728.6652786125369</v>
      </c>
      <c r="AK16" s="15">
        <v>2770.7325018511506</v>
      </c>
      <c r="AL16" s="15">
        <f t="shared" si="1"/>
        <v>8004.4809376241838</v>
      </c>
      <c r="AM16" s="15">
        <v>8004.4809376241838</v>
      </c>
      <c r="AN16" s="15">
        <v>0</v>
      </c>
      <c r="AO16" s="15">
        <v>4785.5938771335168</v>
      </c>
      <c r="AP16" s="15">
        <v>4067.6281854084041</v>
      </c>
      <c r="AQ16" s="15"/>
      <c r="AR16" s="15"/>
      <c r="AS16" s="15">
        <v>615.32141558695037</v>
      </c>
      <c r="AT16" s="15">
        <v>27.07696295601346</v>
      </c>
      <c r="AU16" s="15">
        <f t="shared" si="2"/>
        <v>588.24445263093685</v>
      </c>
      <c r="AV16" s="15">
        <v>-1028.2530120481927</v>
      </c>
      <c r="AW16" s="15">
        <v>-655.76666666666665</v>
      </c>
      <c r="AX16" s="15">
        <v>54925.302764810091</v>
      </c>
      <c r="AY16" s="15">
        <v>42654.245681234919</v>
      </c>
      <c r="AZ16" s="15">
        <v>10993.769780982117</v>
      </c>
      <c r="BA16" s="15"/>
      <c r="BB16" s="15"/>
      <c r="BC16" s="15">
        <v>1277.2873025930505</v>
      </c>
      <c r="BD16" s="15">
        <v>0</v>
      </c>
      <c r="BE16" s="15">
        <f t="shared" si="3"/>
        <v>1739.8977656777577</v>
      </c>
      <c r="BF16" s="15">
        <v>41900.859922626121</v>
      </c>
      <c r="BG16" s="15">
        <v>753.38575860880042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78041.727727274716</v>
      </c>
      <c r="BP16" s="15">
        <v>599.53006133715246</v>
      </c>
      <c r="BQ16" s="15">
        <v>35.057956784800389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460.85259765207996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91.674979102833106</v>
      </c>
      <c r="CG16" s="15">
        <v>91.674979102833106</v>
      </c>
      <c r="CH16" s="15">
        <v>4962.1118088118301</v>
      </c>
      <c r="CI16" s="15"/>
      <c r="CJ16" s="15">
        <v>0</v>
      </c>
      <c r="CK16" s="15">
        <v>892.16072842438643</v>
      </c>
      <c r="CL16" s="15">
        <v>7752.4030825558402</v>
      </c>
      <c r="CM16" s="15">
        <v>5514.6393855667429</v>
      </c>
      <c r="CN16" s="15">
        <v>2239.1572091625021</v>
      </c>
      <c r="CO16" s="15">
        <v>0</v>
      </c>
      <c r="CP16" s="15">
        <v>599.53006133715246</v>
      </c>
      <c r="CQ16" s="15">
        <v>0</v>
      </c>
      <c r="CR16" s="15">
        <v>599.53006133715246</v>
      </c>
      <c r="CS16" s="15">
        <v>569.55355827029484</v>
      </c>
      <c r="CT16" s="15">
        <v>29.976503066857649</v>
      </c>
      <c r="CU16" s="15">
        <v>0</v>
      </c>
      <c r="CV16" s="15">
        <v>3182.0839367417157</v>
      </c>
      <c r="CW16" s="15">
        <v>662</v>
      </c>
      <c r="CX16" s="15">
        <v>454.24539195097475</v>
      </c>
      <c r="CY16" s="15">
        <v>0</v>
      </c>
      <c r="CZ16" s="15">
        <v>185.82766034358059</v>
      </c>
      <c r="DA16" s="19">
        <v>0</v>
      </c>
      <c r="DB16" s="19">
        <v>0</v>
      </c>
      <c r="DC16" s="19">
        <v>4.2078740527243808E-3</v>
      </c>
      <c r="DD16" s="19">
        <v>1.8937782747473375E-2</v>
      </c>
      <c r="DE16" s="19">
        <v>0.1298256271477829</v>
      </c>
      <c r="DF16" s="19">
        <v>0.29089691421412578</v>
      </c>
      <c r="DG16" s="19">
        <v>0.55613180183789357</v>
      </c>
      <c r="DH16" s="15">
        <v>0</v>
      </c>
      <c r="DI16" s="15">
        <v>75803.964030285613</v>
      </c>
      <c r="DJ16" s="15">
        <v>70841.85222147379</v>
      </c>
      <c r="DK16" s="15">
        <v>77784.155016972276</v>
      </c>
      <c r="DL16" s="18">
        <v>9.0413460701895126E-2</v>
      </c>
      <c r="DM16" s="15">
        <v>56717.183412460028</v>
      </c>
      <c r="DN16" s="15">
        <v>38478.813793630623</v>
      </c>
      <c r="DO16" s="15">
        <v>10054.200974353156</v>
      </c>
      <c r="DP16" s="15">
        <v>2311.3483319999996</v>
      </c>
      <c r="DQ16" s="15">
        <v>3552.9603124762516</v>
      </c>
      <c r="DR16" s="15">
        <v>2319.8599999999997</v>
      </c>
      <c r="DS16" s="15">
        <v>58413.664336683789</v>
      </c>
      <c r="DT16" s="18">
        <f t="shared" si="4"/>
        <v>0.25520776099488174</v>
      </c>
      <c r="DU16" s="18">
        <f t="shared" si="5"/>
        <v>0.22415308631756395</v>
      </c>
      <c r="DV16" s="18">
        <f t="shared" si="6"/>
        <v>3.9386956565282107E-2</v>
      </c>
      <c r="DW16" s="18">
        <f t="shared" si="7"/>
        <v>-3.4590956308368767E-2</v>
      </c>
      <c r="DX16" s="18">
        <f t="shared" si="8"/>
        <v>8.5323700244920517E-2</v>
      </c>
      <c r="DY16" s="18">
        <f t="shared" si="9"/>
        <v>0.16811776163649195</v>
      </c>
      <c r="DZ16" s="18">
        <f t="shared" si="10"/>
        <v>-3.2664709735275833E-2</v>
      </c>
      <c r="EA16" s="18">
        <f t="shared" si="11"/>
        <v>0.26180880149790914</v>
      </c>
      <c r="EB16" s="18">
        <f t="shared" si="12"/>
        <v>3.3257598786595038E-2</v>
      </c>
      <c r="EC16" s="18">
        <f t="shared" si="13"/>
        <v>0.56142264525714469</v>
      </c>
      <c r="ED16" s="18">
        <f t="shared" si="14"/>
        <v>0.14470192153702494</v>
      </c>
      <c r="EE16" s="18">
        <f t="shared" si="15"/>
        <v>6.0792140476177391E-2</v>
      </c>
      <c r="EF16" s="18">
        <f t="shared" si="16"/>
        <v>3.5620782937689367E-2</v>
      </c>
      <c r="EG16" s="18">
        <f t="shared" si="17"/>
        <v>0.1029063173068812</v>
      </c>
      <c r="EH16" s="18">
        <f t="shared" si="18"/>
        <v>5.0054322089885715E-2</v>
      </c>
      <c r="EI16" s="18">
        <f t="shared" si="19"/>
        <v>5.2293788940959242E-2</v>
      </c>
      <c r="EJ16" s="18">
        <f t="shared" si="20"/>
        <v>7.9106267266474649E-3</v>
      </c>
      <c r="EK16" s="18">
        <f t="shared" si="21"/>
        <v>-1.3219311977147928E-2</v>
      </c>
      <c r="EL16" s="18">
        <f t="shared" si="22"/>
        <v>-8.430594463918523E-3</v>
      </c>
      <c r="EM16" s="6">
        <v>11.687614259597806</v>
      </c>
      <c r="EN16" s="6">
        <v>11.941636512197968</v>
      </c>
      <c r="EO16" s="6">
        <v>13.47857289237565</v>
      </c>
      <c r="EP16" s="6">
        <v>11.613406168203026</v>
      </c>
      <c r="EQ16" s="14">
        <v>67945.399999999994</v>
      </c>
      <c r="ER16" s="14"/>
      <c r="ES16" s="15">
        <v>114109</v>
      </c>
      <c r="ET16" s="15">
        <v>45384.476316701766</v>
      </c>
      <c r="EU16" s="14">
        <v>0</v>
      </c>
      <c r="EX16" s="16"/>
      <c r="EY16" s="16"/>
      <c r="FA16" s="17"/>
      <c r="FB16" s="17"/>
      <c r="FC16" s="17"/>
      <c r="GJ16" s="6">
        <v>0.4370341894157086</v>
      </c>
    </row>
    <row r="17" spans="1:192" ht="15">
      <c r="A17" s="12">
        <v>1925</v>
      </c>
      <c r="B17" s="13"/>
      <c r="C17" s="15">
        <f t="shared" si="0"/>
        <v>334081.05266092601</v>
      </c>
      <c r="D17" s="15">
        <v>94719.562508610732</v>
      </c>
      <c r="E17" s="15">
        <v>2876.3259899954232</v>
      </c>
      <c r="F17" s="15">
        <v>66443.535750645795</v>
      </c>
      <c r="G17" s="15">
        <v>0</v>
      </c>
      <c r="H17" s="15">
        <v>3277.1041322277001</v>
      </c>
      <c r="I17" s="15">
        <v>82467.529366491959</v>
      </c>
      <c r="L17" s="15">
        <v>0</v>
      </c>
      <c r="M17" s="15">
        <v>28131.443384448368</v>
      </c>
      <c r="N17" s="15">
        <v>-11379.258412748475</v>
      </c>
      <c r="O17" s="15">
        <v>-5678.9226773112468</v>
      </c>
      <c r="P17" s="15">
        <v>55932.153308291265</v>
      </c>
      <c r="Q17" s="15">
        <v>0</v>
      </c>
      <c r="R17" s="15">
        <v>11536.47215825991</v>
      </c>
      <c r="S17" s="15">
        <v>2.5704980941062862E-2</v>
      </c>
      <c r="T17" s="15">
        <v>-12306.179850607854</v>
      </c>
      <c r="U17" s="15">
        <v>12382.36432531121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82902.583783377544</v>
      </c>
      <c r="AB17" s="15">
        <v>1102.2699999999998</v>
      </c>
      <c r="AC17" s="15">
        <v>3797.8130348722343</v>
      </c>
      <c r="AD17" s="15">
        <v>476.59383075572862</v>
      </c>
      <c r="AE17" s="15">
        <v>0</v>
      </c>
      <c r="AF17" s="15">
        <v>1814.3030494903899</v>
      </c>
      <c r="AG17" s="15">
        <v>2363.2837492094791</v>
      </c>
      <c r="AH17" s="15">
        <v>25937.400617902935</v>
      </c>
      <c r="AI17" s="15">
        <v>7616.0843666908331</v>
      </c>
      <c r="AJ17" s="15">
        <v>4802.240760927868</v>
      </c>
      <c r="AK17" s="15">
        <v>2813.843605762966</v>
      </c>
      <c r="AL17" s="15">
        <f t="shared" si="1"/>
        <v>9876.2929089099853</v>
      </c>
      <c r="AM17" s="15">
        <v>9876.2929089099853</v>
      </c>
      <c r="AN17" s="15">
        <v>0</v>
      </c>
      <c r="AO17" s="15">
        <v>4968.5282524734512</v>
      </c>
      <c r="AP17" s="15">
        <v>4234.2314683618661</v>
      </c>
      <c r="AQ17" s="15"/>
      <c r="AR17" s="15"/>
      <c r="AS17" s="15">
        <v>688.09071886814547</v>
      </c>
      <c r="AT17" s="15">
        <v>30.920363204552199</v>
      </c>
      <c r="AU17" s="15">
        <f t="shared" si="2"/>
        <v>657.17035566359323</v>
      </c>
      <c r="AV17" s="15">
        <v>-1160.6024096385543</v>
      </c>
      <c r="AW17" s="15">
        <v>-761.81851851851843</v>
      </c>
      <c r="AX17" s="15">
        <v>56965.183165474598</v>
      </c>
      <c r="AY17" s="15">
        <v>44324.065423066611</v>
      </c>
      <c r="AZ17" s="15">
        <v>11393.439104616704</v>
      </c>
      <c r="BA17" s="15"/>
      <c r="BB17" s="15"/>
      <c r="BC17" s="15">
        <v>1247.6786377912863</v>
      </c>
      <c r="BD17" s="15">
        <v>0</v>
      </c>
      <c r="BE17" s="15">
        <f t="shared" si="3"/>
        <v>1724.2724685470148</v>
      </c>
      <c r="BF17" s="15">
        <v>43541.186271881103</v>
      </c>
      <c r="BG17" s="15">
        <v>782.8791511855045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82233.863527745794</v>
      </c>
      <c r="BP17" s="15">
        <v>623.00034234326552</v>
      </c>
      <c r="BQ17" s="15">
        <v>45.71991328848523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485.87156552430821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96.651870561287097</v>
      </c>
      <c r="CG17" s="15">
        <v>96.651870561287097</v>
      </c>
      <c r="CH17" s="15">
        <v>5682.3385901969168</v>
      </c>
      <c r="CI17" s="15"/>
      <c r="CJ17" s="15">
        <v>0</v>
      </c>
      <c r="CK17" s="15">
        <v>895.64845605700714</v>
      </c>
      <c r="CL17" s="15">
        <v>8382.9508860306432</v>
      </c>
      <c r="CM17" s="15">
        <v>6264.8620262825125</v>
      </c>
      <c r="CN17" s="15">
        <v>2119.5580235213615</v>
      </c>
      <c r="CO17" s="15">
        <v>0</v>
      </c>
      <c r="CP17" s="15">
        <v>623.00034234326552</v>
      </c>
      <c r="CQ17" s="15">
        <v>0</v>
      </c>
      <c r="CR17" s="15">
        <v>623.00034234326552</v>
      </c>
      <c r="CS17" s="15">
        <v>591.85032522610231</v>
      </c>
      <c r="CT17" s="15">
        <v>31.150017117163301</v>
      </c>
      <c r="CU17" s="15">
        <v>0</v>
      </c>
      <c r="CV17" s="15">
        <v>950.42093518480897</v>
      </c>
      <c r="CW17" s="15">
        <v>704</v>
      </c>
      <c r="CX17" s="15">
        <v>478.90566494331438</v>
      </c>
      <c r="CY17" s="15">
        <v>0</v>
      </c>
      <c r="CZ17" s="15">
        <v>195.9159538404468</v>
      </c>
      <c r="DA17" s="19">
        <v>0</v>
      </c>
      <c r="DB17" s="19">
        <v>0</v>
      </c>
      <c r="DC17" s="19">
        <v>3.3662992421794602E-3</v>
      </c>
      <c r="DD17" s="19">
        <v>1.5890161108661816E-2</v>
      </c>
      <c r="DE17" s="19">
        <v>0.12206280499250954</v>
      </c>
      <c r="DF17" s="19">
        <v>0.30730745620108513</v>
      </c>
      <c r="DG17" s="19">
        <v>0.55137327845556405</v>
      </c>
      <c r="DH17" s="15">
        <v>0</v>
      </c>
      <c r="DI17" s="15">
        <v>80115.774667997684</v>
      </c>
      <c r="DJ17" s="15">
        <v>74433.436077800769</v>
      </c>
      <c r="DK17" s="15">
        <v>82006.935327320534</v>
      </c>
      <c r="DL17" s="18">
        <v>0.10364477060476576</v>
      </c>
      <c r="DM17" s="15">
        <v>59773.661466912105</v>
      </c>
      <c r="DN17" s="15">
        <v>41084.399742379232</v>
      </c>
      <c r="DO17" s="15">
        <v>10039.208937553905</v>
      </c>
      <c r="DP17" s="15">
        <v>2293.0316111560842</v>
      </c>
      <c r="DQ17" s="15">
        <v>4100.7542382256443</v>
      </c>
      <c r="DR17" s="15">
        <v>2256.2669375972314</v>
      </c>
      <c r="DS17" s="15">
        <v>63292.017530463345</v>
      </c>
      <c r="DT17" s="18">
        <f t="shared" si="4"/>
        <v>0.28352270131507851</v>
      </c>
      <c r="DU17" s="18">
        <f t="shared" si="5"/>
        <v>0.21730345164636103</v>
      </c>
      <c r="DV17" s="18">
        <f t="shared" si="6"/>
        <v>3.7063952674618254E-2</v>
      </c>
      <c r="DW17" s="18">
        <f t="shared" si="7"/>
        <v>-3.683591078449442E-2</v>
      </c>
      <c r="DX17" s="18">
        <f t="shared" si="8"/>
        <v>8.4205444039354857E-2</v>
      </c>
      <c r="DY17" s="18">
        <f t="shared" si="9"/>
        <v>0.16742090837776227</v>
      </c>
      <c r="DZ17" s="18">
        <f t="shared" si="10"/>
        <v>-3.4061370203768482E-2</v>
      </c>
      <c r="EA17" s="18">
        <f t="shared" si="11"/>
        <v>0.24684886709271714</v>
      </c>
      <c r="EB17" s="18">
        <f t="shared" si="12"/>
        <v>3.4531955842370982E-2</v>
      </c>
      <c r="EC17" s="18">
        <f t="shared" si="13"/>
        <v>0.55259486654108103</v>
      </c>
      <c r="ED17" s="18">
        <f t="shared" si="14"/>
        <v>0.1420437385732928</v>
      </c>
      <c r="EE17" s="18">
        <f t="shared" si="15"/>
        <v>5.8558958968047255E-2</v>
      </c>
      <c r="EF17" s="18">
        <f t="shared" si="16"/>
        <v>3.4312263890021712E-2</v>
      </c>
      <c r="EG17" s="18">
        <f t="shared" si="17"/>
        <v>0.12043241061856517</v>
      </c>
      <c r="EH17" s="18">
        <f t="shared" si="18"/>
        <v>4.9665065279662607E-2</v>
      </c>
      <c r="EI17" s="18">
        <f t="shared" si="19"/>
        <v>5.1632602187381534E-2</v>
      </c>
      <c r="EJ17" s="18">
        <f t="shared" si="20"/>
        <v>8.3906405735285263E-3</v>
      </c>
      <c r="EK17" s="18">
        <f t="shared" si="21"/>
        <v>-1.4152490944895738E-2</v>
      </c>
      <c r="EL17" s="18">
        <f t="shared" si="22"/>
        <v>-9.2896840429143469E-3</v>
      </c>
      <c r="EM17" s="6">
        <v>11.483669312786034</v>
      </c>
      <c r="EN17" s="6">
        <v>11.73325896232069</v>
      </c>
      <c r="EO17" s="6">
        <v>13.144817754088255</v>
      </c>
      <c r="EP17" s="6">
        <v>11.410756127684049</v>
      </c>
      <c r="EQ17" s="14">
        <v>69137.100000000006</v>
      </c>
      <c r="ER17" s="14"/>
      <c r="ES17" s="15">
        <v>115829</v>
      </c>
      <c r="ET17" s="15">
        <v>46190.080965008812</v>
      </c>
      <c r="EU17" s="14">
        <v>0</v>
      </c>
      <c r="EX17" s="16"/>
      <c r="EY17" s="16"/>
      <c r="FA17" s="17"/>
      <c r="FB17" s="17"/>
      <c r="FC17" s="17"/>
      <c r="GJ17" s="6">
        <v>0.41117426255240669</v>
      </c>
    </row>
    <row r="18" spans="1:192" ht="15">
      <c r="A18" s="12">
        <v>1926</v>
      </c>
      <c r="B18" s="13"/>
      <c r="C18" s="15">
        <f t="shared" si="0"/>
        <v>352527.56554115098</v>
      </c>
      <c r="D18" s="15">
        <v>108920.42284434782</v>
      </c>
      <c r="E18" s="15">
        <v>3050.6487772678734</v>
      </c>
      <c r="F18" s="15">
        <v>70018.311657826838</v>
      </c>
      <c r="G18" s="15">
        <v>0</v>
      </c>
      <c r="H18" s="15">
        <v>3453.417941612794</v>
      </c>
      <c r="I18" s="15">
        <v>83245.483929271664</v>
      </c>
      <c r="L18" s="15">
        <v>0</v>
      </c>
      <c r="M18" s="15">
        <v>28325.201438034313</v>
      </c>
      <c r="N18" s="15">
        <v>-12691.166514996092</v>
      </c>
      <c r="O18" s="15">
        <v>-6414.2761163241112</v>
      </c>
      <c r="P18" s="15">
        <v>56796.475129379884</v>
      </c>
      <c r="Q18" s="15">
        <v>0</v>
      </c>
      <c r="R18" s="15">
        <v>12888.217354676726</v>
      </c>
      <c r="S18" s="15">
        <v>2.5505105464359724E-2</v>
      </c>
      <c r="T18" s="15">
        <v>-14019.308542880755</v>
      </c>
      <c r="U18" s="15">
        <v>12539.861526609842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88706.473813339573</v>
      </c>
      <c r="AB18" s="15">
        <v>1517.3999999999999</v>
      </c>
      <c r="AC18" s="15">
        <v>3757.7397958200186</v>
      </c>
      <c r="AD18" s="15">
        <v>665.21401620124914</v>
      </c>
      <c r="AE18" s="15">
        <v>0</v>
      </c>
      <c r="AF18" s="15">
        <v>1746.1362694198233</v>
      </c>
      <c r="AG18" s="15">
        <v>2274.4907310739723</v>
      </c>
      <c r="AH18" s="15">
        <v>28523.605460169088</v>
      </c>
      <c r="AI18" s="15">
        <v>7387.5133664701152</v>
      </c>
      <c r="AJ18" s="15">
        <v>4658.1177547770167</v>
      </c>
      <c r="AK18" s="15">
        <v>2729.395611693099</v>
      </c>
      <c r="AL18" s="15">
        <f t="shared" si="1"/>
        <v>12634.404809247615</v>
      </c>
      <c r="AM18" s="15">
        <v>12634.404809247615</v>
      </c>
      <c r="AN18" s="15">
        <v>0</v>
      </c>
      <c r="AO18" s="15">
        <v>5058.5472257466008</v>
      </c>
      <c r="AP18" s="15">
        <v>4187.2651370666572</v>
      </c>
      <c r="AQ18" s="15"/>
      <c r="AR18" s="15"/>
      <c r="AS18" s="15">
        <v>751.48308303613589</v>
      </c>
      <c r="AT18" s="15">
        <v>38.12988051721144</v>
      </c>
      <c r="AU18" s="15">
        <f t="shared" si="2"/>
        <v>713.35320251892449</v>
      </c>
      <c r="AV18" s="15">
        <v>-1292.9518072289159</v>
      </c>
      <c r="AW18" s="15">
        <v>-867.8703703703701</v>
      </c>
      <c r="AX18" s="15">
        <v>60182.868353170496</v>
      </c>
      <c r="AY18" s="15">
        <v>47275.786877082777</v>
      </c>
      <c r="AZ18" s="15">
        <v>11273.219387460058</v>
      </c>
      <c r="BA18" s="15"/>
      <c r="BB18" s="15"/>
      <c r="BC18" s="15">
        <v>1633.8620886276603</v>
      </c>
      <c r="BD18" s="15">
        <v>0</v>
      </c>
      <c r="BE18" s="15">
        <f t="shared" si="3"/>
        <v>2299.0761048289096</v>
      </c>
      <c r="BF18" s="15">
        <v>46440.772589726905</v>
      </c>
      <c r="BG18" s="15">
        <v>835.01428735587524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87986.429836342548</v>
      </c>
      <c r="BP18" s="15">
        <v>664.48849237648028</v>
      </c>
      <c r="BQ18" s="15">
        <v>55.555484620543567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520.27063038803033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103.49469529224258</v>
      </c>
      <c r="CG18" s="15">
        <v>103.49469529224258</v>
      </c>
      <c r="CH18" s="15">
        <v>6045.6615562913985</v>
      </c>
      <c r="CI18" s="15"/>
      <c r="CJ18" s="15">
        <v>0</v>
      </c>
      <c r="CK18" s="15">
        <v>893.55581947743485</v>
      </c>
      <c r="CL18" s="15">
        <v>9294.7012030838578</v>
      </c>
      <c r="CM18" s="15">
        <v>6669.4268819716717</v>
      </c>
      <c r="CN18" s="15">
        <v>2626.8474997393741</v>
      </c>
      <c r="CO18" s="15">
        <v>0</v>
      </c>
      <c r="CP18" s="15">
        <v>664.48849237648028</v>
      </c>
      <c r="CQ18" s="15">
        <v>0</v>
      </c>
      <c r="CR18" s="15">
        <v>664.48849237648028</v>
      </c>
      <c r="CS18" s="15">
        <v>631.26406775765633</v>
      </c>
      <c r="CT18" s="15">
        <v>33.224424618824045</v>
      </c>
      <c r="CU18" s="15">
        <v>0</v>
      </c>
      <c r="CV18" s="15">
        <v>2105.4870061856973</v>
      </c>
      <c r="CW18" s="15">
        <v>735</v>
      </c>
      <c r="CX18" s="15">
        <v>512.81155324985059</v>
      </c>
      <c r="CY18" s="15">
        <v>0</v>
      </c>
      <c r="CZ18" s="15">
        <v>209.78654451130251</v>
      </c>
      <c r="DA18" s="19">
        <v>0</v>
      </c>
      <c r="DB18" s="19">
        <v>0</v>
      </c>
      <c r="DC18" s="19">
        <v>2.5247244316346507E-3</v>
      </c>
      <c r="DD18" s="19">
        <v>1.2842539469850256E-2</v>
      </c>
      <c r="DE18" s="19">
        <v>0.11429998283723608</v>
      </c>
      <c r="DF18" s="19">
        <v>0.32371799818804448</v>
      </c>
      <c r="DG18" s="19">
        <v>0.54661475507323454</v>
      </c>
      <c r="DH18" s="15">
        <v>0</v>
      </c>
      <c r="DI18" s="15">
        <v>85361.155515230348</v>
      </c>
      <c r="DJ18" s="15">
        <v>79315.493958938954</v>
      </c>
      <c r="DK18" s="15">
        <v>87812.917993862124</v>
      </c>
      <c r="DL18" s="18">
        <v>8.953162059473288E-2</v>
      </c>
      <c r="DM18" s="15">
        <v>61992.480379808163</v>
      </c>
      <c r="DN18" s="15">
        <v>42657.849728274326</v>
      </c>
      <c r="DO18" s="15">
        <v>9821.8130725990286</v>
      </c>
      <c r="DP18" s="15">
        <v>2467.3090607205472</v>
      </c>
      <c r="DQ18" s="15">
        <v>4792.6132726260666</v>
      </c>
      <c r="DR18" s="15">
        <v>2252.8952455881949</v>
      </c>
      <c r="DS18" s="15">
        <v>64894.565862962241</v>
      </c>
      <c r="DT18" s="18">
        <f t="shared" si="4"/>
        <v>0.30896994587401538</v>
      </c>
      <c r="DU18" s="18">
        <f t="shared" si="5"/>
        <v>0.21706778662610696</v>
      </c>
      <c r="DV18" s="18">
        <f t="shared" si="6"/>
        <v>3.5571293573483827E-2</v>
      </c>
      <c r="DW18" s="18">
        <f t="shared" si="7"/>
        <v>-3.9767978204371834E-2</v>
      </c>
      <c r="DX18" s="18">
        <f t="shared" si="8"/>
        <v>8.0348898091283802E-2</v>
      </c>
      <c r="DY18" s="18">
        <f t="shared" si="9"/>
        <v>0.16111215315090008</v>
      </c>
      <c r="DZ18" s="18">
        <f t="shared" si="10"/>
        <v>-3.6000494019565218E-2</v>
      </c>
      <c r="EA18" s="18">
        <f t="shared" si="11"/>
        <v>0.23613893512549819</v>
      </c>
      <c r="EB18" s="18">
        <f t="shared" si="12"/>
        <v>3.6559459782648594E-2</v>
      </c>
      <c r="EC18" s="18">
        <f t="shared" si="13"/>
        <v>0.55339306406601796</v>
      </c>
      <c r="ED18" s="18">
        <f t="shared" si="14"/>
        <v>0.13196018153933936</v>
      </c>
      <c r="EE18" s="18">
        <f t="shared" si="15"/>
        <v>5.3045928334856225E-2</v>
      </c>
      <c r="EF18" s="18">
        <f t="shared" si="16"/>
        <v>3.1081937305441509E-2</v>
      </c>
      <c r="EG18" s="18">
        <f t="shared" si="17"/>
        <v>0.1438786581506234</v>
      </c>
      <c r="EH18" s="18">
        <f t="shared" si="18"/>
        <v>4.7430281346080391E-2</v>
      </c>
      <c r="EI18" s="18">
        <f t="shared" si="19"/>
        <v>4.7683931165564221E-2</v>
      </c>
      <c r="EJ18" s="18">
        <f t="shared" si="20"/>
        <v>8.5577737331159233E-3</v>
      </c>
      <c r="EK18" s="18">
        <f t="shared" si="21"/>
        <v>-1.472393625866401E-2</v>
      </c>
      <c r="EL18" s="18">
        <f t="shared" si="22"/>
        <v>-9.8831742549659006E-3</v>
      </c>
      <c r="EM18" s="6">
        <v>11.422341305775159</v>
      </c>
      <c r="EN18" s="6">
        <v>11.670598033282927</v>
      </c>
      <c r="EO18" s="6">
        <v>13.020810039427044</v>
      </c>
      <c r="EP18" s="6">
        <v>11.349817510179726</v>
      </c>
      <c r="EQ18" s="14">
        <v>70347.7</v>
      </c>
      <c r="ER18" s="14"/>
      <c r="ES18" s="15">
        <v>117397</v>
      </c>
      <c r="ET18" s="15">
        <v>46940.016465398301</v>
      </c>
      <c r="EU18" s="14">
        <v>0</v>
      </c>
      <c r="EX18" s="16"/>
      <c r="EY18" s="16"/>
      <c r="FA18" s="17"/>
      <c r="FB18" s="17"/>
      <c r="FC18" s="17"/>
      <c r="GJ18" s="6">
        <v>0.34332121446185132</v>
      </c>
    </row>
    <row r="19" spans="1:192" ht="15">
      <c r="A19" s="12">
        <v>1927</v>
      </c>
      <c r="B19" s="13"/>
      <c r="C19" s="15">
        <f t="shared" si="0"/>
        <v>376644.83801994403</v>
      </c>
      <c r="D19" s="15">
        <v>130237.0069395748</v>
      </c>
      <c r="E19" s="15">
        <v>3224.9715645403235</v>
      </c>
      <c r="F19" s="15">
        <v>73893.093115994896</v>
      </c>
      <c r="G19" s="15">
        <v>0</v>
      </c>
      <c r="H19" s="15">
        <v>3644.5285166986237</v>
      </c>
      <c r="I19" s="15">
        <v>85214.434339616462</v>
      </c>
      <c r="L19" s="15">
        <v>0</v>
      </c>
      <c r="M19" s="15">
        <v>27496.836483637355</v>
      </c>
      <c r="N19" s="15">
        <v>-13936.861443964466</v>
      </c>
      <c r="O19" s="15">
        <v>-7199.7627098283865</v>
      </c>
      <c r="P19" s="15">
        <v>55473.986247242014</v>
      </c>
      <c r="Q19" s="15">
        <v>0</v>
      </c>
      <c r="R19" s="15">
        <v>14239.962551093548</v>
      </c>
      <c r="S19" s="15">
        <v>2.5343176817157795E-2</v>
      </c>
      <c r="T19" s="15">
        <v>-15732.437235153657</v>
      </c>
      <c r="U19" s="15">
        <v>12889.316940664154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87102.362584971081</v>
      </c>
      <c r="AB19" s="15">
        <v>1212.57</v>
      </c>
      <c r="AC19" s="15">
        <v>3798.6165426088337</v>
      </c>
      <c r="AD19" s="15">
        <v>578.87460881886273</v>
      </c>
      <c r="AE19" s="15">
        <v>0</v>
      </c>
      <c r="AF19" s="15">
        <v>1762.8106007067136</v>
      </c>
      <c r="AG19" s="15">
        <v>2296.2104631607976</v>
      </c>
      <c r="AH19" s="15">
        <v>26453.429164761237</v>
      </c>
      <c r="AI19" s="15">
        <v>7472.2755659055747</v>
      </c>
      <c r="AJ19" s="15">
        <v>4711.5636555203291</v>
      </c>
      <c r="AK19" s="15">
        <v>2760.7119103852442</v>
      </c>
      <c r="AL19" s="15">
        <f t="shared" si="1"/>
        <v>10470.255829469445</v>
      </c>
      <c r="AM19" s="15">
        <v>10470.255829469445</v>
      </c>
      <c r="AN19" s="15">
        <v>0</v>
      </c>
      <c r="AO19" s="15">
        <v>5280.5113863207398</v>
      </c>
      <c r="AP19" s="15">
        <v>4239.1580958385875</v>
      </c>
      <c r="AQ19" s="15"/>
      <c r="AR19" s="15"/>
      <c r="AS19" s="15">
        <v>811.57710544952658</v>
      </c>
      <c r="AT19" s="15">
        <v>29.013009971553199</v>
      </c>
      <c r="AU19" s="15">
        <f t="shared" si="2"/>
        <v>782.56409547797341</v>
      </c>
      <c r="AV19" s="15">
        <v>-1425.3012048192777</v>
      </c>
      <c r="AW19" s="15">
        <v>-973.9222222222221</v>
      </c>
      <c r="AX19" s="15">
        <v>60648.933420209833</v>
      </c>
      <c r="AY19" s="15">
        <v>47685.365304324521</v>
      </c>
      <c r="AZ19" s="15">
        <v>11395.849627826503</v>
      </c>
      <c r="BA19" s="15"/>
      <c r="BB19" s="15"/>
      <c r="BC19" s="15">
        <v>1567.7184880588172</v>
      </c>
      <c r="BD19" s="15">
        <v>0</v>
      </c>
      <c r="BE19" s="15">
        <f t="shared" si="3"/>
        <v>2146.5930968776802</v>
      </c>
      <c r="BF19" s="15">
        <v>46843.116788600761</v>
      </c>
      <c r="BG19" s="15">
        <v>842.24851572375314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86367.19895089294</v>
      </c>
      <c r="BP19" s="15">
        <v>670.24535375533662</v>
      </c>
      <c r="BQ19" s="15">
        <v>64.918280322801422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510.87823866860691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101.62631629429276</v>
      </c>
      <c r="CG19" s="15">
        <v>101.62631629429276</v>
      </c>
      <c r="CH19" s="15">
        <v>5491.2228777529526</v>
      </c>
      <c r="CI19" s="15"/>
      <c r="CJ19" s="15">
        <v>0</v>
      </c>
      <c r="CK19" s="15">
        <v>874.72209026128291</v>
      </c>
      <c r="CL19" s="15">
        <v>8859.7372700071446</v>
      </c>
      <c r="CM19" s="15">
        <v>6103.727432715853</v>
      </c>
      <c r="CN19" s="15">
        <v>2757.5546154879216</v>
      </c>
      <c r="CO19" s="15">
        <v>0</v>
      </c>
      <c r="CP19" s="15">
        <v>670.24535375533662</v>
      </c>
      <c r="CQ19" s="15">
        <v>0</v>
      </c>
      <c r="CR19" s="15">
        <v>670.24535375533662</v>
      </c>
      <c r="CS19" s="15">
        <v>636.73308606756984</v>
      </c>
      <c r="CT19" s="15">
        <v>33.512267687766865</v>
      </c>
      <c r="CU19" s="15">
        <v>0</v>
      </c>
      <c r="CV19" s="15">
        <v>2269.4952497721133</v>
      </c>
      <c r="CW19" s="15">
        <v>732</v>
      </c>
      <c r="CX19" s="15">
        <v>503.55381947622544</v>
      </c>
      <c r="CY19" s="15">
        <v>0</v>
      </c>
      <c r="CZ19" s="15">
        <v>205.99928978572859</v>
      </c>
      <c r="DA19" s="19">
        <v>0</v>
      </c>
      <c r="DB19" s="19">
        <v>0</v>
      </c>
      <c r="DC19" s="19">
        <v>1.6831496210897301E-3</v>
      </c>
      <c r="DD19" s="19">
        <v>9.7949178310386964E-3</v>
      </c>
      <c r="DE19" s="19">
        <v>0.10653716068196273</v>
      </c>
      <c r="DF19" s="19">
        <v>0.34012854017500382</v>
      </c>
      <c r="DG19" s="19">
        <v>0.54185623169090502</v>
      </c>
      <c r="DH19" s="15">
        <v>0</v>
      </c>
      <c r="DI19" s="15">
        <v>83611.189113601635</v>
      </c>
      <c r="DJ19" s="15">
        <v>78119.966235848697</v>
      </c>
      <c r="DK19" s="15">
        <v>86227.640494709791</v>
      </c>
      <c r="DL19" s="18">
        <v>8.4043170428151653E-2</v>
      </c>
      <c r="DM19" s="15">
        <v>62292.342796240686</v>
      </c>
      <c r="DN19" s="15">
        <v>42812.506986867069</v>
      </c>
      <c r="DO19" s="15">
        <v>9658.6592573626131</v>
      </c>
      <c r="DP19" s="15">
        <v>2645.9223418503061</v>
      </c>
      <c r="DQ19" s="15">
        <v>5069.5743387503626</v>
      </c>
      <c r="DR19" s="15">
        <v>2105.6798714103352</v>
      </c>
      <c r="DS19" s="15">
        <v>65813.859373005296</v>
      </c>
      <c r="DT19" s="18">
        <f t="shared" si="4"/>
        <v>0.34578200414014043</v>
      </c>
      <c r="DU19" s="18">
        <f t="shared" si="5"/>
        <v>0.21442639071282671</v>
      </c>
      <c r="DV19" s="18">
        <f t="shared" si="6"/>
        <v>3.4221408710721907E-2</v>
      </c>
      <c r="DW19" s="18">
        <f t="shared" si="7"/>
        <v>-4.1769953141693121E-2</v>
      </c>
      <c r="DX19" s="18">
        <f t="shared" si="8"/>
        <v>7.3004681620464279E-2</v>
      </c>
      <c r="DY19" s="18">
        <f t="shared" si="9"/>
        <v>0.14728460514386385</v>
      </c>
      <c r="DZ19" s="18">
        <f t="shared" si="10"/>
        <v>-3.700266149200878E-2</v>
      </c>
      <c r="EA19" s="18">
        <f t="shared" si="11"/>
        <v>0.22624612297249697</v>
      </c>
      <c r="EB19" s="18">
        <f t="shared" si="12"/>
        <v>3.7807401333187836E-2</v>
      </c>
      <c r="EC19" s="18">
        <f t="shared" si="13"/>
        <v>0.56769146112162372</v>
      </c>
      <c r="ED19" s="18">
        <f t="shared" si="14"/>
        <v>0.13566691760997049</v>
      </c>
      <c r="EE19" s="18">
        <f t="shared" si="15"/>
        <v>5.4640990156855695E-2</v>
      </c>
      <c r="EF19" s="18">
        <f t="shared" si="16"/>
        <v>3.2016554025441742E-2</v>
      </c>
      <c r="EG19" s="18">
        <f t="shared" si="17"/>
        <v>0.12142574897560617</v>
      </c>
      <c r="EH19" s="18">
        <f t="shared" si="18"/>
        <v>5.1094860891267919E-2</v>
      </c>
      <c r="EI19" s="18">
        <f t="shared" si="19"/>
        <v>4.9162403975308439E-2</v>
      </c>
      <c r="EJ19" s="18">
        <f t="shared" si="20"/>
        <v>9.4120296089896856E-3</v>
      </c>
      <c r="EK19" s="18">
        <f t="shared" si="21"/>
        <v>-1.6529516482672656E-2</v>
      </c>
      <c r="EL19" s="18">
        <f t="shared" si="22"/>
        <v>-1.1294779917838223E-2</v>
      </c>
      <c r="EM19" s="6">
        <v>11.6240946168826</v>
      </c>
      <c r="EN19" s="6">
        <v>11.876736313762107</v>
      </c>
      <c r="EO19" s="6">
        <v>13.271210232492949</v>
      </c>
      <c r="EP19" s="6">
        <v>11.550289830332355</v>
      </c>
      <c r="EQ19" s="14">
        <v>71615</v>
      </c>
      <c r="ER19" s="14"/>
      <c r="ES19" s="15">
        <v>119035</v>
      </c>
      <c r="ET19" s="15">
        <v>47722.889407422103</v>
      </c>
      <c r="EU19" s="14">
        <v>0</v>
      </c>
      <c r="EX19" s="16"/>
      <c r="EY19" s="16"/>
      <c r="FA19" s="17"/>
      <c r="FB19" s="17"/>
      <c r="FC19" s="17"/>
      <c r="GJ19" s="6">
        <v>0.44288873897960995</v>
      </c>
    </row>
    <row r="20" spans="1:192" ht="15">
      <c r="A20" s="12">
        <v>1928</v>
      </c>
      <c r="B20" s="13"/>
      <c r="C20" s="15">
        <f t="shared" si="0"/>
        <v>433105.92071044684</v>
      </c>
      <c r="D20" s="15">
        <v>171303.17863861923</v>
      </c>
      <c r="E20" s="15">
        <v>3399.2943518127731</v>
      </c>
      <c r="F20" s="15">
        <v>78551.123028333983</v>
      </c>
      <c r="G20" s="15">
        <v>0</v>
      </c>
      <c r="H20" s="15">
        <v>3874.2701898548157</v>
      </c>
      <c r="I20" s="15">
        <v>91694.411281044595</v>
      </c>
      <c r="L20" s="15">
        <v>0</v>
      </c>
      <c r="M20" s="15">
        <v>29158.667040201115</v>
      </c>
      <c r="N20" s="15">
        <v>-15181.02406596732</v>
      </c>
      <c r="O20" s="15">
        <v>-7986.4094860882415</v>
      </c>
      <c r="P20" s="15">
        <v>58289.526983410011</v>
      </c>
      <c r="Q20" s="15">
        <v>0</v>
      </c>
      <c r="R20" s="15">
        <v>15591.707747510365</v>
      </c>
      <c r="S20" s="15">
        <v>2.5209325436995774E-2</v>
      </c>
      <c r="T20" s="15">
        <v>-17445.565927426556</v>
      </c>
      <c r="U20" s="15">
        <v>13870.331443053781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88843.924254010082</v>
      </c>
      <c r="AB20" s="15">
        <v>1107.1200000000001</v>
      </c>
      <c r="AC20" s="15">
        <v>3855.3817420528985</v>
      </c>
      <c r="AD20" s="15">
        <v>497.26071717753939</v>
      </c>
      <c r="AE20" s="15">
        <v>0</v>
      </c>
      <c r="AF20" s="15">
        <v>1952.4208521415871</v>
      </c>
      <c r="AG20" s="15">
        <v>2543.1939128250783</v>
      </c>
      <c r="AH20" s="15">
        <v>27339.960906844281</v>
      </c>
      <c r="AI20" s="15">
        <v>7665.1904880403372</v>
      </c>
      <c r="AJ20" s="15">
        <v>4833.2041019574162</v>
      </c>
      <c r="AK20" s="15">
        <v>2831.9863860829219</v>
      </c>
      <c r="AL20" s="15">
        <f t="shared" si="1"/>
        <v>10963.625492133539</v>
      </c>
      <c r="AM20" s="15">
        <v>10963.625492133539</v>
      </c>
      <c r="AN20" s="15">
        <v>0</v>
      </c>
      <c r="AO20" s="15">
        <v>5620.2880783671271</v>
      </c>
      <c r="AP20" s="15">
        <v>4349.2435569287163</v>
      </c>
      <c r="AQ20" s="15"/>
      <c r="AR20" s="15"/>
      <c r="AS20" s="15">
        <v>881.97725068073589</v>
      </c>
      <c r="AT20" s="15">
        <v>25.156121339083501</v>
      </c>
      <c r="AU20" s="15">
        <f t="shared" si="2"/>
        <v>856.82112934165241</v>
      </c>
      <c r="AV20" s="15">
        <v>-1557.6506024096389</v>
      </c>
      <c r="AW20" s="15">
        <v>-1079.9740740740738</v>
      </c>
      <c r="AX20" s="15">
        <v>61503.963347165787</v>
      </c>
      <c r="AY20" s="15">
        <v>48599.04025740223</v>
      </c>
      <c r="AZ20" s="15">
        <v>11566.145226158698</v>
      </c>
      <c r="BA20" s="15"/>
      <c r="BB20" s="15"/>
      <c r="BC20" s="15">
        <v>1338.7778636048565</v>
      </c>
      <c r="BD20" s="15">
        <v>0</v>
      </c>
      <c r="BE20" s="15">
        <f t="shared" si="3"/>
        <v>1836.0385807823959</v>
      </c>
      <c r="BF20" s="15">
        <v>47740.653847627073</v>
      </c>
      <c r="BG20" s="15">
        <v>858.38640977515729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88085.867213452031</v>
      </c>
      <c r="BP20" s="15">
        <v>683.08758298509565</v>
      </c>
      <c r="BQ20" s="15">
        <v>74.969457572947476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521.25443595868637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103.69039855092146</v>
      </c>
      <c r="CG20" s="15">
        <v>103.69039855092146</v>
      </c>
      <c r="CH20" s="15">
        <v>6025.9108913078062</v>
      </c>
      <c r="CI20" s="15"/>
      <c r="CJ20" s="15">
        <v>0</v>
      </c>
      <c r="CK20" s="15">
        <v>864.95645288994456</v>
      </c>
      <c r="CL20" s="15">
        <v>8992.7378401361239</v>
      </c>
      <c r="CM20" s="15">
        <v>6650.8557258174133</v>
      </c>
      <c r="CN20" s="15">
        <v>2343.4582677474864</v>
      </c>
      <c r="CO20" s="15">
        <v>0</v>
      </c>
      <c r="CP20" s="15">
        <v>683.08758298509565</v>
      </c>
      <c r="CQ20" s="15">
        <v>0</v>
      </c>
      <c r="CR20" s="15">
        <v>683.08758298509565</v>
      </c>
      <c r="CS20" s="15">
        <v>648.9332038358408</v>
      </c>
      <c r="CT20" s="15">
        <v>34.154379149254815</v>
      </c>
      <c r="CU20" s="15">
        <v>0</v>
      </c>
      <c r="CV20" s="15">
        <v>2039.15424020407</v>
      </c>
      <c r="CW20" s="15">
        <v>830</v>
      </c>
      <c r="CX20" s="15">
        <v>513.78125408114249</v>
      </c>
      <c r="CY20" s="15">
        <v>0</v>
      </c>
      <c r="CZ20" s="15">
        <v>210.18324030592191</v>
      </c>
      <c r="DA20" s="19">
        <v>0</v>
      </c>
      <c r="DB20" s="19">
        <v>0</v>
      </c>
      <c r="DC20" s="19">
        <v>8.4157481054492056E-4</v>
      </c>
      <c r="DD20" s="19">
        <v>6.7472961922271368E-3</v>
      </c>
      <c r="DE20" s="19">
        <v>9.8774338526689265E-2</v>
      </c>
      <c r="DF20" s="19">
        <v>0.35653908216196317</v>
      </c>
      <c r="DG20" s="19">
        <v>0.53709770830857551</v>
      </c>
      <c r="DH20" s="15">
        <v>0</v>
      </c>
      <c r="DI20" s="15">
        <v>85743.985099133308</v>
      </c>
      <c r="DJ20" s="15">
        <v>79718.074207825513</v>
      </c>
      <c r="DK20" s="15">
        <v>87978.967801120132</v>
      </c>
      <c r="DL20" s="18">
        <v>8.2232567730572054E-2</v>
      </c>
      <c r="DM20" s="15">
        <v>63691.429125084789</v>
      </c>
      <c r="DN20" s="15">
        <v>43430.393290348518</v>
      </c>
      <c r="DO20" s="15">
        <v>9834.0691468289533</v>
      </c>
      <c r="DP20" s="15">
        <v>2765.771041294181</v>
      </c>
      <c r="DQ20" s="15">
        <v>5661.7704182046145</v>
      </c>
      <c r="DR20" s="15">
        <v>1999.4252284085267</v>
      </c>
      <c r="DS20" s="15">
        <v>69383.714512257458</v>
      </c>
      <c r="DT20" s="18">
        <f t="shared" si="4"/>
        <v>0.39552259723815703</v>
      </c>
      <c r="DU20" s="18">
        <f t="shared" si="5"/>
        <v>0.19816096586539092</v>
      </c>
      <c r="DV20" s="18">
        <f t="shared" si="6"/>
        <v>3.2025263982310689E-2</v>
      </c>
      <c r="DW20" s="18">
        <f t="shared" si="7"/>
        <v>-4.028013724404797E-2</v>
      </c>
      <c r="DX20" s="18">
        <f t="shared" si="8"/>
        <v>6.7324563451754693E-2</v>
      </c>
      <c r="DY20" s="18">
        <f t="shared" si="9"/>
        <v>0.13458492298557032</v>
      </c>
      <c r="DZ20" s="18">
        <f t="shared" si="10"/>
        <v>-3.5051527444060503E-2</v>
      </c>
      <c r="EA20" s="18">
        <f t="shared" si="11"/>
        <v>0.21171359451894203</v>
      </c>
      <c r="EB20" s="18">
        <f t="shared" si="12"/>
        <v>3.5999756645982699E-2</v>
      </c>
      <c r="EC20" s="18">
        <f t="shared" si="13"/>
        <v>0.56468554848271912</v>
      </c>
      <c r="ED20" s="18">
        <f t="shared" si="14"/>
        <v>0.13439020660226764</v>
      </c>
      <c r="EE20" s="18">
        <f t="shared" si="15"/>
        <v>5.4935903691016946E-2</v>
      </c>
      <c r="EF20" s="18">
        <f t="shared" si="16"/>
        <v>3.2189356807239847E-2</v>
      </c>
      <c r="EG20" s="18">
        <f t="shared" si="17"/>
        <v>0.12461643692975848</v>
      </c>
      <c r="EH20" s="18">
        <f t="shared" si="18"/>
        <v>5.4050777638432794E-2</v>
      </c>
      <c r="EI20" s="18">
        <f t="shared" si="19"/>
        <v>4.9435037323469738E-2</v>
      </c>
      <c r="EJ20" s="18">
        <f t="shared" si="20"/>
        <v>1.0024864723060627E-2</v>
      </c>
      <c r="EK20" s="18">
        <f t="shared" si="21"/>
        <v>-1.7704806516152458E-2</v>
      </c>
      <c r="EL20" s="18">
        <f t="shared" si="22"/>
        <v>-1.2275366500268531E-2</v>
      </c>
      <c r="EM20" s="6">
        <v>11.719635120583005</v>
      </c>
      <c r="EN20" s="6">
        <v>11.974353324560154</v>
      </c>
      <c r="EO20" s="6">
        <v>13.452298871142951</v>
      </c>
      <c r="EP20" s="6">
        <v>11.645223719348786</v>
      </c>
      <c r="EQ20" s="14">
        <v>72882.100000000006</v>
      </c>
      <c r="ER20" s="14"/>
      <c r="ES20" s="15">
        <v>120509</v>
      </c>
      <c r="ET20" s="15">
        <v>48444.949505004595</v>
      </c>
      <c r="EU20" s="14">
        <v>0</v>
      </c>
      <c r="EX20" s="16"/>
      <c r="EY20" s="16"/>
      <c r="FA20" s="17"/>
      <c r="FB20" s="17"/>
      <c r="FC20" s="17"/>
      <c r="GJ20" s="6">
        <v>0.46028028417712319</v>
      </c>
    </row>
    <row r="21" spans="1:192" ht="15">
      <c r="A21" s="12">
        <v>1929</v>
      </c>
      <c r="B21" s="13"/>
      <c r="C21" s="15">
        <f t="shared" si="0"/>
        <v>457947.19623777538</v>
      </c>
      <c r="D21" s="15">
        <v>188337.13798172478</v>
      </c>
      <c r="E21" s="15">
        <v>3573.6171390852228</v>
      </c>
      <c r="F21" s="15">
        <v>82333.301179697475</v>
      </c>
      <c r="G21" s="15">
        <v>0</v>
      </c>
      <c r="H21" s="15">
        <v>4060.8134180052557</v>
      </c>
      <c r="I21" s="15">
        <v>91671.525008611905</v>
      </c>
      <c r="L21" s="15">
        <v>0</v>
      </c>
      <c r="M21" s="15">
        <v>31022.159214731495</v>
      </c>
      <c r="N21" s="15">
        <v>-16452.062815531965</v>
      </c>
      <c r="O21" s="15">
        <v>-8752.7070631108982</v>
      </c>
      <c r="P21" s="15">
        <v>61729.160379832087</v>
      </c>
      <c r="Q21" s="15">
        <v>0</v>
      </c>
      <c r="R21" s="15">
        <v>16943.452943927179</v>
      </c>
      <c r="S21" s="15">
        <v>2.509683132807787E-2</v>
      </c>
      <c r="T21" s="15">
        <v>-19158.694619699461</v>
      </c>
      <c r="U21" s="15">
        <v>13886.786407391355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95058</v>
      </c>
      <c r="AB21" s="15">
        <v>1365</v>
      </c>
      <c r="AC21" s="15">
        <v>4243.7499999999991</v>
      </c>
      <c r="AD21" s="15">
        <v>623.7545395333035</v>
      </c>
      <c r="AE21" s="15">
        <v>-12.579004304485732</v>
      </c>
      <c r="AF21" s="15">
        <v>1973</v>
      </c>
      <c r="AG21" s="15">
        <v>2570</v>
      </c>
      <c r="AH21" s="15">
        <v>29294.925535228831</v>
      </c>
      <c r="AI21" s="15">
        <v>7794.9999999999991</v>
      </c>
      <c r="AJ21" s="15">
        <v>4915.0541051185155</v>
      </c>
      <c r="AK21" s="15">
        <v>2879.9458948814845</v>
      </c>
      <c r="AL21" s="15">
        <f t="shared" si="1"/>
        <v>12102.996514412853</v>
      </c>
      <c r="AM21" s="15">
        <v>12102.996514412853</v>
      </c>
      <c r="AN21" s="15">
        <v>0</v>
      </c>
      <c r="AO21" s="15">
        <v>5940.2015192438839</v>
      </c>
      <c r="AP21" s="15">
        <v>4749.4533051498838</v>
      </c>
      <c r="AQ21" s="15"/>
      <c r="AR21" s="15"/>
      <c r="AS21" s="15">
        <v>972.12458711931254</v>
      </c>
      <c r="AT21" s="15">
        <v>27.32610636319702</v>
      </c>
      <c r="AU21" s="15">
        <f t="shared" si="2"/>
        <v>944.79848075611551</v>
      </c>
      <c r="AV21" s="15">
        <v>-1690</v>
      </c>
      <c r="AW21" s="15">
        <v>-1186.0259259259258</v>
      </c>
      <c r="AX21" s="15">
        <v>65763.074464771184</v>
      </c>
      <c r="AY21" s="15">
        <v>51408</v>
      </c>
      <c r="AZ21" s="15">
        <v>12731.250000000002</v>
      </c>
      <c r="BA21" s="15"/>
      <c r="BB21" s="15"/>
      <c r="BC21" s="15">
        <v>1657.2454604666964</v>
      </c>
      <c r="BD21" s="15">
        <v>-33.420995695514272</v>
      </c>
      <c r="BE21" s="15">
        <f t="shared" si="3"/>
        <v>2281</v>
      </c>
      <c r="BF21" s="15">
        <v>50500</v>
      </c>
      <c r="BG21" s="15">
        <v>908.00000000000125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94168.418988846344</v>
      </c>
      <c r="BP21" s="15">
        <v>802.85459411239947</v>
      </c>
      <c r="BQ21" s="15">
        <v>86.72641704126525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558</v>
      </c>
      <c r="BZ21" s="15">
        <v>124</v>
      </c>
      <c r="CA21" s="15">
        <v>0</v>
      </c>
      <c r="CB21" s="15">
        <v>124</v>
      </c>
      <c r="CC21" s="15">
        <v>0</v>
      </c>
      <c r="CD21" s="15">
        <v>0</v>
      </c>
      <c r="CE21" s="15">
        <v>0</v>
      </c>
      <c r="CF21" s="15">
        <v>111</v>
      </c>
      <c r="CG21" s="15">
        <v>111</v>
      </c>
      <c r="CH21" s="15">
        <v>6718</v>
      </c>
      <c r="CI21" s="15"/>
      <c r="CJ21" s="15">
        <v>0</v>
      </c>
      <c r="CK21" s="15">
        <v>877</v>
      </c>
      <c r="CL21" s="15">
        <v>10216.999999999998</v>
      </c>
      <c r="CM21" s="15">
        <v>7511</v>
      </c>
      <c r="CN21" s="15">
        <v>2661.9999999999995</v>
      </c>
      <c r="CO21" s="15">
        <v>0</v>
      </c>
      <c r="CP21" s="15">
        <v>802.85459411239947</v>
      </c>
      <c r="CQ21" s="15">
        <v>0</v>
      </c>
      <c r="CR21" s="15">
        <v>802.85459411239947</v>
      </c>
      <c r="CS21" s="15">
        <v>762.71186440677945</v>
      </c>
      <c r="CT21" s="15">
        <v>40.142729705620006</v>
      </c>
      <c r="CU21" s="15">
        <v>0</v>
      </c>
      <c r="CV21" s="15">
        <v>2093.9096631826856</v>
      </c>
      <c r="CW21" s="15">
        <v>1179</v>
      </c>
      <c r="CX21" s="15">
        <v>550</v>
      </c>
      <c r="CY21" s="15">
        <v>0</v>
      </c>
      <c r="CZ21" s="15">
        <v>225</v>
      </c>
      <c r="DA21" s="19">
        <v>0</v>
      </c>
      <c r="DB21" s="19">
        <v>0</v>
      </c>
      <c r="DC21" s="19">
        <v>0</v>
      </c>
      <c r="DD21" s="19">
        <v>3.6996745534155773E-3</v>
      </c>
      <c r="DE21" s="19">
        <v>9.1011516371415913E-2</v>
      </c>
      <c r="DF21" s="19">
        <v>0.37294962414892252</v>
      </c>
      <c r="DG21" s="19">
        <v>0.53233918492624599</v>
      </c>
      <c r="DH21" s="15">
        <v>74.000000000000014</v>
      </c>
      <c r="DI21" s="15">
        <v>91508.418988846373</v>
      </c>
      <c r="DJ21" s="15">
        <v>84790.418988846373</v>
      </c>
      <c r="DK21" s="15">
        <v>94181.000000000015</v>
      </c>
      <c r="DL21" s="18">
        <v>6.2087894585956829E-2</v>
      </c>
      <c r="DM21" s="15">
        <v>67280</v>
      </c>
      <c r="DN21" s="15">
        <v>46413.281924883711</v>
      </c>
      <c r="DO21" s="15">
        <v>10104.886188098651</v>
      </c>
      <c r="DP21" s="15">
        <v>2729.1361856419535</v>
      </c>
      <c r="DQ21" s="15">
        <v>5906.163589466918</v>
      </c>
      <c r="DR21" s="15">
        <v>2126.5321119087725</v>
      </c>
      <c r="DS21" s="15">
        <v>72489.048824256068</v>
      </c>
      <c r="DT21" s="18">
        <f t="shared" si="4"/>
        <v>0.41126387393348374</v>
      </c>
      <c r="DU21" s="18">
        <f t="shared" si="5"/>
        <v>0.19645874562812021</v>
      </c>
      <c r="DV21" s="18">
        <f t="shared" si="6"/>
        <v>3.0323990454526238E-2</v>
      </c>
      <c r="DW21" s="18">
        <f t="shared" si="7"/>
        <v>-4.1836034322507092E-2</v>
      </c>
      <c r="DX21" s="18">
        <f t="shared" si="8"/>
        <v>6.7741782173995818E-2</v>
      </c>
      <c r="DY21" s="18">
        <f t="shared" si="9"/>
        <v>0.13479536699200811</v>
      </c>
      <c r="DZ21" s="18">
        <f t="shared" si="10"/>
        <v>-3.5925676476878624E-2</v>
      </c>
      <c r="EA21" s="18">
        <f t="shared" si="11"/>
        <v>0.20017924721830638</v>
      </c>
      <c r="EB21" s="18">
        <f t="shared" si="12"/>
        <v>3.6998704398945155E-2</v>
      </c>
      <c r="EC21" s="18">
        <f t="shared" si="13"/>
        <v>0.55994619235882426</v>
      </c>
      <c r="ED21" s="18">
        <f t="shared" si="14"/>
        <v>0.13867131499899399</v>
      </c>
      <c r="EE21" s="18">
        <f t="shared" si="15"/>
        <v>5.2187321276250143E-2</v>
      </c>
      <c r="EF21" s="18">
        <f t="shared" si="16"/>
        <v>3.0578841750262622E-2</v>
      </c>
      <c r="EG21" s="18">
        <f t="shared" si="17"/>
        <v>0.12850783612844258</v>
      </c>
      <c r="EH21" s="18">
        <f t="shared" si="18"/>
        <v>5.3760328720696138E-2</v>
      </c>
      <c r="EI21" s="18">
        <f t="shared" si="19"/>
        <v>5.0428996349050056E-2</v>
      </c>
      <c r="EJ21" s="18">
        <f t="shared" si="20"/>
        <v>1.032187582547767E-2</v>
      </c>
      <c r="EK21" s="18">
        <f t="shared" si="21"/>
        <v>-1.794417132967371E-2</v>
      </c>
      <c r="EL21" s="18">
        <f t="shared" si="22"/>
        <v>-1.2593048767011665E-2</v>
      </c>
      <c r="EM21" s="6">
        <v>11.687614259597806</v>
      </c>
      <c r="EN21" s="6">
        <v>11.941636512197968</v>
      </c>
      <c r="EO21" s="6">
        <v>13.452298871142951</v>
      </c>
      <c r="EP21" s="6">
        <v>11.613406168203026</v>
      </c>
      <c r="EQ21" s="14">
        <v>74112.100000000006</v>
      </c>
      <c r="ER21" s="14"/>
      <c r="ES21" s="15">
        <v>121878</v>
      </c>
      <c r="ET21" s="15">
        <v>49084.788361927036</v>
      </c>
      <c r="EU21" s="14">
        <v>0</v>
      </c>
      <c r="EX21" s="16"/>
      <c r="EY21" s="16"/>
      <c r="FA21" s="17"/>
      <c r="FB21" s="17"/>
      <c r="FC21" s="17"/>
      <c r="GJ21" s="6">
        <v>0.47822305979433827</v>
      </c>
    </row>
    <row r="22" spans="1:192" ht="15">
      <c r="A22" s="12">
        <v>1930</v>
      </c>
      <c r="B22" s="13"/>
      <c r="C22" s="15">
        <f t="shared" si="0"/>
        <v>410246.33916757425</v>
      </c>
      <c r="D22" s="15">
        <v>154474.43464982745</v>
      </c>
      <c r="E22" s="15">
        <v>3779.4148740596429</v>
      </c>
      <c r="F22" s="15">
        <v>81563.108434169379</v>
      </c>
      <c r="G22" s="15">
        <v>0</v>
      </c>
      <c r="H22" s="15">
        <v>4022.8262488929108</v>
      </c>
      <c r="I22" s="15">
        <v>81413.832241641299</v>
      </c>
      <c r="L22" s="15">
        <v>0</v>
      </c>
      <c r="M22" s="15">
        <v>29669.928353801366</v>
      </c>
      <c r="N22" s="15">
        <v>-16651.206365677288</v>
      </c>
      <c r="O22" s="15">
        <v>-8884.4956741138376</v>
      </c>
      <c r="P22" s="15">
        <v>59655.353364246585</v>
      </c>
      <c r="Q22" s="15">
        <v>0</v>
      </c>
      <c r="R22" s="15">
        <v>18134.93359712273</v>
      </c>
      <c r="S22" s="15">
        <v>2.4913109385915906E-2</v>
      </c>
      <c r="T22" s="15">
        <v>-19044.691451328781</v>
      </c>
      <c r="U22" s="15">
        <v>13228.405220818977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84005.999999999985</v>
      </c>
      <c r="AB22" s="15">
        <v>842</v>
      </c>
      <c r="AC22" s="15">
        <v>3407</v>
      </c>
      <c r="AD22" s="15">
        <v>573.89220314364218</v>
      </c>
      <c r="AE22" s="15">
        <v>-18.669398765368051</v>
      </c>
      <c r="AF22" s="15">
        <v>2057</v>
      </c>
      <c r="AG22" s="15">
        <v>2670.0000000000005</v>
      </c>
      <c r="AH22" s="15">
        <v>25002.222804378271</v>
      </c>
      <c r="AI22" s="15">
        <v>7483.0000000000009</v>
      </c>
      <c r="AJ22" s="15">
        <v>4647.5691116844819</v>
      </c>
      <c r="AK22" s="15">
        <v>2835.4308883155181</v>
      </c>
      <c r="AL22" s="15">
        <f t="shared" si="1"/>
        <v>9411.5757082112523</v>
      </c>
      <c r="AM22" s="15">
        <v>9411.5757082112523</v>
      </c>
      <c r="AN22" s="15">
        <v>0</v>
      </c>
      <c r="AO22" s="15">
        <v>5549.4863909232272</v>
      </c>
      <c r="AP22" s="15">
        <v>3925.8663967611337</v>
      </c>
      <c r="AQ22" s="15"/>
      <c r="AR22" s="15"/>
      <c r="AS22" s="15">
        <v>984.0400226229001</v>
      </c>
      <c r="AT22" s="15">
        <v>27.526413546126424</v>
      </c>
      <c r="AU22" s="15">
        <f t="shared" si="2"/>
        <v>956.51360907677372</v>
      </c>
      <c r="AV22" s="15">
        <v>-1727.9999999999998</v>
      </c>
      <c r="AW22" s="15">
        <v>-1178.9685185185183</v>
      </c>
      <c r="AX22" s="15">
        <v>59003.777195621726</v>
      </c>
      <c r="AY22" s="15">
        <v>47166.999999999993</v>
      </c>
      <c r="AZ22" s="15">
        <v>10221</v>
      </c>
      <c r="BA22" s="15"/>
      <c r="BB22" s="15"/>
      <c r="BC22" s="15">
        <v>1670.1077968563563</v>
      </c>
      <c r="BD22" s="15">
        <v>-54.330601234631935</v>
      </c>
      <c r="BE22" s="15">
        <f t="shared" si="3"/>
        <v>2243.9999999999986</v>
      </c>
      <c r="BF22" s="15">
        <v>46200</v>
      </c>
      <c r="BG22" s="15">
        <v>966.99999999999875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83108.587339191145</v>
      </c>
      <c r="BP22" s="15">
        <v>802.85459411239947</v>
      </c>
      <c r="BQ22" s="15">
        <v>94.5580666964362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599</v>
      </c>
      <c r="BZ22" s="15">
        <v>226</v>
      </c>
      <c r="CA22" s="15">
        <v>0</v>
      </c>
      <c r="CB22" s="15">
        <v>226</v>
      </c>
      <c r="CC22" s="15">
        <v>0</v>
      </c>
      <c r="CD22" s="15">
        <v>0</v>
      </c>
      <c r="CE22" s="15">
        <v>0</v>
      </c>
      <c r="CF22" s="15">
        <v>110</v>
      </c>
      <c r="CG22" s="15">
        <v>110</v>
      </c>
      <c r="CH22" s="15">
        <v>7018</v>
      </c>
      <c r="CI22" s="15"/>
      <c r="CJ22" s="15">
        <v>0</v>
      </c>
      <c r="CK22" s="15">
        <v>905.99999999999989</v>
      </c>
      <c r="CL22" s="15">
        <v>9698.9999999999982</v>
      </c>
      <c r="CM22" s="15">
        <v>7952.9999999999991</v>
      </c>
      <c r="CN22" s="15">
        <v>1739.0000000000014</v>
      </c>
      <c r="CO22" s="15">
        <v>0</v>
      </c>
      <c r="CP22" s="15">
        <v>802.85459411239947</v>
      </c>
      <c r="CQ22" s="15">
        <v>0</v>
      </c>
      <c r="CR22" s="15">
        <v>802.85459411239947</v>
      </c>
      <c r="CS22" s="15">
        <v>762.71186440677945</v>
      </c>
      <c r="CT22" s="15">
        <v>40.142729705620006</v>
      </c>
      <c r="CU22" s="15">
        <v>0</v>
      </c>
      <c r="CV22" s="15">
        <v>1165.170891851531</v>
      </c>
      <c r="CW22" s="15">
        <v>1045</v>
      </c>
      <c r="CX22" s="15">
        <v>526</v>
      </c>
      <c r="CY22" s="15">
        <v>0</v>
      </c>
      <c r="CZ22" s="15">
        <v>242</v>
      </c>
      <c r="DA22" s="19">
        <v>0</v>
      </c>
      <c r="DB22" s="19">
        <v>0</v>
      </c>
      <c r="DC22" s="19">
        <v>0</v>
      </c>
      <c r="DD22" s="19">
        <v>5.3487711293526141E-3</v>
      </c>
      <c r="DE22" s="19">
        <v>0.10998151038050707</v>
      </c>
      <c r="DF22" s="19">
        <v>0.36284073766256641</v>
      </c>
      <c r="DG22" s="19">
        <v>0.5218289808275739</v>
      </c>
      <c r="DH22" s="15">
        <v>73.000000000000014</v>
      </c>
      <c r="DI22" s="15">
        <v>81435.587339191145</v>
      </c>
      <c r="DJ22" s="15">
        <v>74417.587339191145</v>
      </c>
      <c r="DK22" s="15">
        <v>83099.999999999985</v>
      </c>
      <c r="DL22" s="18">
        <v>3.1744885679903738E-2</v>
      </c>
      <c r="DM22" s="15">
        <v>60240</v>
      </c>
      <c r="DN22" s="15">
        <v>42998.89879039707</v>
      </c>
      <c r="DO22" s="15">
        <v>7618.7297367902547</v>
      </c>
      <c r="DP22" s="15">
        <v>2569.1278472793647</v>
      </c>
      <c r="DQ22" s="15">
        <v>5243.74732865839</v>
      </c>
      <c r="DR22" s="15">
        <v>1809.4962968749253</v>
      </c>
      <c r="DS22" s="15">
        <v>61813.907021299354</v>
      </c>
      <c r="DT22" s="18">
        <f t="shared" si="4"/>
        <v>0.37654067788458423</v>
      </c>
      <c r="DU22" s="18">
        <f t="shared" si="5"/>
        <v>0.21783338698025206</v>
      </c>
      <c r="DV22" s="18">
        <f t="shared" si="6"/>
        <v>3.2245029285722746E-2</v>
      </c>
      <c r="DW22" s="18">
        <f t="shared" si="7"/>
        <v>-4.6422575006938825E-2</v>
      </c>
      <c r="DX22" s="18">
        <f t="shared" si="8"/>
        <v>7.2322225748569141E-2</v>
      </c>
      <c r="DY22" s="18">
        <f t="shared" si="9"/>
        <v>0.14541349347636476</v>
      </c>
      <c r="DZ22" s="18">
        <f t="shared" si="10"/>
        <v>-4.0588311889544329E-2</v>
      </c>
      <c r="EA22" s="18">
        <f t="shared" si="11"/>
        <v>0.19845108772167741</v>
      </c>
      <c r="EB22" s="18">
        <f t="shared" si="12"/>
        <v>4.4204985799312917E-2</v>
      </c>
      <c r="EC22" s="18">
        <f t="shared" si="13"/>
        <v>0.58411138218187986</v>
      </c>
      <c r="ED22" s="18">
        <f t="shared" si="14"/>
        <v>0.12657583559015823</v>
      </c>
      <c r="EE22" s="18">
        <f t="shared" si="15"/>
        <v>5.5927426133387276E-2</v>
      </c>
      <c r="EF22" s="18">
        <f t="shared" si="16"/>
        <v>3.4120708643989396E-2</v>
      </c>
      <c r="EG22" s="18">
        <f t="shared" si="17"/>
        <v>0.11325602536956984</v>
      </c>
      <c r="EH22" s="18">
        <f t="shared" si="18"/>
        <v>5.5878295919653764E-2</v>
      </c>
      <c r="EI22" s="18">
        <f t="shared" si="19"/>
        <v>4.7242676254646621E-2</v>
      </c>
      <c r="EJ22" s="18">
        <f t="shared" si="20"/>
        <v>1.1841636854667874E-2</v>
      </c>
      <c r="EK22" s="18">
        <f t="shared" si="21"/>
        <v>-2.0794223826714801E-2</v>
      </c>
      <c r="EL22" s="18">
        <f t="shared" si="22"/>
        <v>-1.4187346793243303E-2</v>
      </c>
      <c r="EM22" s="6">
        <v>12.15567439096851</v>
      </c>
      <c r="EN22" s="6">
        <v>12.415533980582524</v>
      </c>
      <c r="EO22" s="6">
        <v>13.802058641792664</v>
      </c>
      <c r="EP22" s="6">
        <v>12.126797385620916</v>
      </c>
      <c r="EQ22" s="14">
        <v>75504.7</v>
      </c>
      <c r="ER22" s="14"/>
      <c r="ES22" s="15">
        <v>123188</v>
      </c>
      <c r="ET22" s="15">
        <v>49750</v>
      </c>
      <c r="EU22" s="14">
        <v>0</v>
      </c>
      <c r="EX22" s="16"/>
      <c r="EY22" s="16"/>
      <c r="FA22" s="17"/>
      <c r="FB22" s="17"/>
      <c r="FC22" s="17"/>
      <c r="GJ22" s="6">
        <v>0.57929238707949937</v>
      </c>
    </row>
    <row r="23" spans="1:192" ht="15">
      <c r="A23" s="12">
        <v>1931</v>
      </c>
      <c r="B23" s="13"/>
      <c r="C23" s="15">
        <f t="shared" si="0"/>
        <v>322677.26753331069</v>
      </c>
      <c r="D23" s="15">
        <v>97701.139713188779</v>
      </c>
      <c r="E23" s="15">
        <v>4016.6875567360325</v>
      </c>
      <c r="F23" s="15">
        <v>77017.495936648746</v>
      </c>
      <c r="G23" s="15">
        <v>0</v>
      </c>
      <c r="H23" s="15">
        <v>3798.6291869690053</v>
      </c>
      <c r="I23" s="15">
        <v>65110.007328814929</v>
      </c>
      <c r="L23" s="15">
        <v>0</v>
      </c>
      <c r="M23" s="15">
        <v>24815.318180037677</v>
      </c>
      <c r="N23" s="15">
        <v>-15753.209792710077</v>
      </c>
      <c r="O23" s="15">
        <v>-8400.889456012068</v>
      </c>
      <c r="P23" s="15">
        <v>51421.522224968241</v>
      </c>
      <c r="Q23" s="15">
        <v>0</v>
      </c>
      <c r="R23" s="15">
        <v>19166.149707097007</v>
      </c>
      <c r="S23" s="15">
        <v>2.4666834666217888E-2</v>
      </c>
      <c r="T23" s="15">
        <v>-17103.556422314527</v>
      </c>
      <c r="U23" s="15">
        <v>12487.083913874896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68778</v>
      </c>
      <c r="AB23" s="15">
        <v>498</v>
      </c>
      <c r="AC23" s="15">
        <v>2632.7499999999995</v>
      </c>
      <c r="AD23" s="15">
        <v>488.7479920968932</v>
      </c>
      <c r="AE23" s="15">
        <v>-33.27157692678383</v>
      </c>
      <c r="AF23" s="15">
        <v>2049.9999999999995</v>
      </c>
      <c r="AG23" s="15">
        <v>2489</v>
      </c>
      <c r="AH23" s="15">
        <v>19279.226415170109</v>
      </c>
      <c r="AI23" s="15">
        <v>7061.9999999999991</v>
      </c>
      <c r="AJ23" s="15">
        <v>4258.0534716679958</v>
      </c>
      <c r="AK23" s="15">
        <v>2803.9465283320037</v>
      </c>
      <c r="AL23" s="15">
        <f t="shared" si="1"/>
        <v>4928.7554282021119</v>
      </c>
      <c r="AM23" s="15">
        <v>4928.7554282021119</v>
      </c>
      <c r="AN23" s="15">
        <v>0</v>
      </c>
      <c r="AO23" s="15">
        <v>5450.968188036114</v>
      </c>
      <c r="AP23" s="15">
        <v>3103.9465579710145</v>
      </c>
      <c r="AQ23" s="15"/>
      <c r="AR23" s="15"/>
      <c r="AS23" s="15">
        <v>1070.8816776426113</v>
      </c>
      <c r="AT23" s="15">
        <v>23.849865678724832</v>
      </c>
      <c r="AU23" s="15">
        <f t="shared" si="2"/>
        <v>1047.0318119638864</v>
      </c>
      <c r="AV23" s="15">
        <v>-1734</v>
      </c>
      <c r="AW23" s="15">
        <v>-1058.8018518518518</v>
      </c>
      <c r="AX23" s="15">
        <v>49498.773584829891</v>
      </c>
      <c r="AY23" s="15">
        <v>40071</v>
      </c>
      <c r="AZ23" s="15">
        <v>7898.2499999999991</v>
      </c>
      <c r="BA23" s="15"/>
      <c r="BB23" s="15"/>
      <c r="BC23" s="15">
        <v>1641.2520079031071</v>
      </c>
      <c r="BD23" s="15">
        <v>-111.72842307321618</v>
      </c>
      <c r="BE23" s="15">
        <f t="shared" si="3"/>
        <v>2130.0000000000005</v>
      </c>
      <c r="BF23" s="15">
        <v>39200</v>
      </c>
      <c r="BG23" s="15">
        <v>870.99999999999511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67862.368680726519</v>
      </c>
      <c r="BP23" s="15">
        <v>802.85459411239947</v>
      </c>
      <c r="BQ23" s="15">
        <v>112.77672516107762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1576</v>
      </c>
      <c r="BZ23" s="15">
        <v>230</v>
      </c>
      <c r="CA23" s="15">
        <v>0</v>
      </c>
      <c r="CB23" s="15">
        <v>230</v>
      </c>
      <c r="CC23" s="15">
        <v>0</v>
      </c>
      <c r="CD23" s="15">
        <v>0</v>
      </c>
      <c r="CE23" s="15">
        <v>0</v>
      </c>
      <c r="CF23" s="15">
        <v>112</v>
      </c>
      <c r="CG23" s="15">
        <v>112</v>
      </c>
      <c r="CH23" s="15">
        <v>7082</v>
      </c>
      <c r="CI23" s="15"/>
      <c r="CJ23" s="15">
        <v>0</v>
      </c>
      <c r="CK23" s="15">
        <v>1123</v>
      </c>
      <c r="CL23" s="15">
        <v>8463.0000000000018</v>
      </c>
      <c r="CM23" s="15">
        <v>9000</v>
      </c>
      <c r="CN23" s="15">
        <v>-684.99999999999852</v>
      </c>
      <c r="CO23" s="15">
        <v>0</v>
      </c>
      <c r="CP23" s="15">
        <v>802.85459411239947</v>
      </c>
      <c r="CQ23" s="15">
        <v>0</v>
      </c>
      <c r="CR23" s="15">
        <v>802.85459411239947</v>
      </c>
      <c r="CS23" s="15">
        <v>762.71186440677945</v>
      </c>
      <c r="CT23" s="15">
        <v>40.142729705620006</v>
      </c>
      <c r="CU23" s="15">
        <v>0</v>
      </c>
      <c r="CV23" s="15">
        <v>108.63568792038691</v>
      </c>
      <c r="CW23" s="15">
        <v>532</v>
      </c>
      <c r="CX23" s="15">
        <v>471</v>
      </c>
      <c r="CY23" s="15">
        <v>0</v>
      </c>
      <c r="CZ23" s="15">
        <v>223</v>
      </c>
      <c r="DA23" s="19">
        <v>0</v>
      </c>
      <c r="DB23" s="19">
        <v>0</v>
      </c>
      <c r="DC23" s="19">
        <v>0</v>
      </c>
      <c r="DD23" s="19">
        <v>6.997867705289651E-3</v>
      </c>
      <c r="DE23" s="19">
        <v>0.12895150438959824</v>
      </c>
      <c r="DF23" s="19">
        <v>0.35273185117621031</v>
      </c>
      <c r="DG23" s="19">
        <v>0.5113187767289018</v>
      </c>
      <c r="DH23" s="15">
        <v>70</v>
      </c>
      <c r="DI23" s="15">
        <v>68544.368680726519</v>
      </c>
      <c r="DJ23" s="15">
        <v>61462.368680726519</v>
      </c>
      <c r="DK23" s="15">
        <v>67655</v>
      </c>
      <c r="DL23" s="18">
        <v>-1.7648363018254384E-2</v>
      </c>
      <c r="DM23" s="15">
        <v>50560</v>
      </c>
      <c r="DN23" s="15">
        <v>36674.27408280487</v>
      </c>
      <c r="DO23" s="15">
        <v>5710.1688419807624</v>
      </c>
      <c r="DP23" s="15">
        <v>2274.497442560275</v>
      </c>
      <c r="DQ23" s="15">
        <v>4301.1298446532765</v>
      </c>
      <c r="DR23" s="15">
        <v>1599.929788000816</v>
      </c>
      <c r="DS23" s="15">
        <v>51113.245982413115</v>
      </c>
      <c r="DT23" s="18">
        <f t="shared" si="4"/>
        <v>0.30278284076241246</v>
      </c>
      <c r="DU23" s="18">
        <f t="shared" si="5"/>
        <v>0.26290297215187708</v>
      </c>
      <c r="DV23" s="18">
        <f t="shared" si="6"/>
        <v>3.8698368835622506E-2</v>
      </c>
      <c r="DW23" s="18">
        <f t="shared" si="7"/>
        <v>-5.3005148311381707E-2</v>
      </c>
      <c r="DX23" s="18">
        <f t="shared" si="8"/>
        <v>7.6904451217580536E-2</v>
      </c>
      <c r="DY23" s="18">
        <f t="shared" si="9"/>
        <v>0.15935898620332739</v>
      </c>
      <c r="DZ23" s="18">
        <f t="shared" si="10"/>
        <v>-4.8820327236358034E-2</v>
      </c>
      <c r="EA23" s="18">
        <f t="shared" si="11"/>
        <v>0.20178058351164599</v>
      </c>
      <c r="EB23" s="18">
        <f t="shared" si="12"/>
        <v>5.9397272865273791E-2</v>
      </c>
      <c r="EC23" s="18">
        <f t="shared" si="13"/>
        <v>0.61254919812241448</v>
      </c>
      <c r="ED23" s="18">
        <f t="shared" si="14"/>
        <v>0.12073735878990692</v>
      </c>
      <c r="EE23" s="18">
        <f t="shared" si="15"/>
        <v>6.2937749932273981E-2</v>
      </c>
      <c r="EF23" s="18">
        <f t="shared" si="16"/>
        <v>4.1444779075190362E-2</v>
      </c>
      <c r="EG23" s="18">
        <f t="shared" si="17"/>
        <v>7.285131074129203E-2</v>
      </c>
      <c r="EH23" s="18">
        <f t="shared" si="18"/>
        <v>6.3971150514169156E-2</v>
      </c>
      <c r="EI23" s="18">
        <f t="shared" si="19"/>
        <v>4.5879041578168862E-2</v>
      </c>
      <c r="EJ23" s="18">
        <f t="shared" si="20"/>
        <v>1.5828566663847628E-2</v>
      </c>
      <c r="EK23" s="18">
        <f t="shared" si="21"/>
        <v>-2.5630034735052841E-2</v>
      </c>
      <c r="EL23" s="18">
        <f t="shared" si="22"/>
        <v>-1.5650016286332891E-2</v>
      </c>
      <c r="EM23" s="6">
        <v>13.489384148753793</v>
      </c>
      <c r="EN23" s="6">
        <v>13.836083310792535</v>
      </c>
      <c r="EO23" s="6">
        <v>15.133836230035818</v>
      </c>
      <c r="EP23" s="6">
        <v>13.580915624168219</v>
      </c>
      <c r="EQ23" s="14">
        <v>76619.7</v>
      </c>
      <c r="ER23" s="14"/>
      <c r="ES23" s="15">
        <v>124149</v>
      </c>
      <c r="ET23" s="15">
        <v>50461.665723737082</v>
      </c>
      <c r="EU23" s="14">
        <v>0</v>
      </c>
      <c r="EX23" s="16"/>
      <c r="EY23" s="16"/>
      <c r="FA23" s="17"/>
      <c r="FB23" s="17"/>
      <c r="FC23" s="17"/>
      <c r="GJ23" s="6">
        <v>0.82098204050779544</v>
      </c>
    </row>
    <row r="24" spans="1:192" ht="15">
      <c r="A24" s="12">
        <v>1932</v>
      </c>
      <c r="B24" s="13"/>
      <c r="C24" s="15">
        <f t="shared" si="0"/>
        <v>258295.53899932696</v>
      </c>
      <c r="D24" s="15">
        <v>60355.939244525609</v>
      </c>
      <c r="E24" s="15">
        <v>4253.9602394124231</v>
      </c>
      <c r="F24" s="15">
        <v>73080.112902235051</v>
      </c>
      <c r="G24" s="15">
        <v>0</v>
      </c>
      <c r="H24" s="15">
        <v>3604.4309994934843</v>
      </c>
      <c r="I24" s="15">
        <v>51203.718744927632</v>
      </c>
      <c r="L24" s="15">
        <v>0</v>
      </c>
      <c r="M24" s="15">
        <v>20131.268480702598</v>
      </c>
      <c r="N24" s="15">
        <v>-14860.124157522003</v>
      </c>
      <c r="O24" s="15">
        <v>-7913.5649324706637</v>
      </c>
      <c r="P24" s="15">
        <v>43476.521732169917</v>
      </c>
      <c r="Q24" s="15">
        <v>0</v>
      </c>
      <c r="R24" s="15">
        <v>20197.365817071284</v>
      </c>
      <c r="S24" s="15">
        <v>2.4445708023821837E-2</v>
      </c>
      <c r="T24" s="15">
        <v>-15162.421393300265</v>
      </c>
      <c r="U24" s="15">
        <v>12014.766389611224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52502</v>
      </c>
      <c r="AB24" s="15">
        <v>383</v>
      </c>
      <c r="AC24" s="15">
        <v>1720.25</v>
      </c>
      <c r="AD24" s="15">
        <v>445.01922951638471</v>
      </c>
      <c r="AE24" s="15">
        <v>-24.262464982952949</v>
      </c>
      <c r="AF24" s="15">
        <v>1951</v>
      </c>
      <c r="AG24" s="15">
        <v>2473</v>
      </c>
      <c r="AH24" s="15">
        <v>14394.006764533437</v>
      </c>
      <c r="AI24" s="15">
        <v>6407.0000000000009</v>
      </c>
      <c r="AJ24" s="15">
        <v>3747.0022441651718</v>
      </c>
      <c r="AK24" s="15">
        <v>2659.9977558348291</v>
      </c>
      <c r="AL24" s="15">
        <f t="shared" si="1"/>
        <v>1860.7768247040485</v>
      </c>
      <c r="AM24" s="15">
        <v>1860.7768247040485</v>
      </c>
      <c r="AN24" s="15">
        <v>0</v>
      </c>
      <c r="AO24" s="15">
        <v>5053.7410042117053</v>
      </c>
      <c r="AP24" s="15">
        <v>2169.8863636363635</v>
      </c>
      <c r="AQ24" s="15"/>
      <c r="AR24" s="15"/>
      <c r="AS24" s="15">
        <v>1086.4809926330699</v>
      </c>
      <c r="AT24" s="15">
        <v>15.221996844775843</v>
      </c>
      <c r="AU24" s="15">
        <f t="shared" si="2"/>
        <v>1071.2589957882942</v>
      </c>
      <c r="AV24" s="15">
        <v>-1666</v>
      </c>
      <c r="AW24" s="15">
        <v>-938.63518518518515</v>
      </c>
      <c r="AX24" s="15">
        <v>38107.993235466565</v>
      </c>
      <c r="AY24" s="15">
        <v>31339</v>
      </c>
      <c r="AZ24" s="15">
        <v>5160.75</v>
      </c>
      <c r="BA24" s="15"/>
      <c r="BB24" s="15"/>
      <c r="BC24" s="15">
        <v>1700.9807704836148</v>
      </c>
      <c r="BD24" s="15">
        <v>-92.737535017047037</v>
      </c>
      <c r="BE24" s="15">
        <f t="shared" si="3"/>
        <v>2145.9999999999995</v>
      </c>
      <c r="BF24" s="15">
        <v>30500</v>
      </c>
      <c r="BG24" s="15">
        <v>838.99999999999864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51656.016565796534</v>
      </c>
      <c r="BP24" s="15">
        <v>722.56913470115956</v>
      </c>
      <c r="BQ24" s="15">
        <v>123.41429950230882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782</v>
      </c>
      <c r="BZ24" s="15">
        <v>433</v>
      </c>
      <c r="CA24" s="15">
        <v>0</v>
      </c>
      <c r="CB24" s="15">
        <v>433.00000000000006</v>
      </c>
      <c r="CC24" s="15">
        <v>0</v>
      </c>
      <c r="CD24" s="15">
        <v>0</v>
      </c>
      <c r="CE24" s="15">
        <v>0</v>
      </c>
      <c r="CF24" s="15">
        <v>118</v>
      </c>
      <c r="CG24" s="15">
        <v>118</v>
      </c>
      <c r="CH24" s="15">
        <v>6683</v>
      </c>
      <c r="CI24" s="15"/>
      <c r="CJ24" s="15">
        <v>0</v>
      </c>
      <c r="CK24" s="15">
        <v>1227</v>
      </c>
      <c r="CL24" s="15">
        <v>7919.0000000000009</v>
      </c>
      <c r="CM24" s="15">
        <v>8016</v>
      </c>
      <c r="CN24" s="15">
        <v>-155.00000000000026</v>
      </c>
      <c r="CO24" s="15">
        <v>0</v>
      </c>
      <c r="CP24" s="15">
        <v>722.56913470115956</v>
      </c>
      <c r="CQ24" s="15">
        <v>0</v>
      </c>
      <c r="CR24" s="15">
        <v>722.56913470115956</v>
      </c>
      <c r="CS24" s="15">
        <v>686.44067796610148</v>
      </c>
      <c r="CT24" s="15">
        <v>36.128456735058009</v>
      </c>
      <c r="CU24" s="15">
        <v>0</v>
      </c>
      <c r="CV24" s="15">
        <v>-323.83890119952241</v>
      </c>
      <c r="CW24" s="15">
        <v>285</v>
      </c>
      <c r="CX24" s="15">
        <v>443</v>
      </c>
      <c r="CY24" s="15">
        <v>0</v>
      </c>
      <c r="CZ24" s="15">
        <v>167</v>
      </c>
      <c r="DA24" s="19">
        <v>0</v>
      </c>
      <c r="DB24" s="19">
        <v>0</v>
      </c>
      <c r="DC24" s="19">
        <v>0</v>
      </c>
      <c r="DD24" s="19">
        <v>8.6469642812266878E-3</v>
      </c>
      <c r="DE24" s="19">
        <v>0.14792149839868929</v>
      </c>
      <c r="DF24" s="19">
        <v>0.34262296468985431</v>
      </c>
      <c r="DG24" s="19">
        <v>0.5008085726302296</v>
      </c>
      <c r="DH24" s="15">
        <v>71.000000000000014</v>
      </c>
      <c r="DI24" s="15">
        <v>51870.016565796541</v>
      </c>
      <c r="DJ24" s="15">
        <v>45187.016565796541</v>
      </c>
      <c r="DK24" s="15">
        <v>51275.000000000007</v>
      </c>
      <c r="DL24" s="18">
        <v>-6.4631886884446613E-2</v>
      </c>
      <c r="DM24" s="15">
        <v>38640</v>
      </c>
      <c r="DN24" s="15">
        <v>29273.995352162794</v>
      </c>
      <c r="DO24" s="15">
        <v>3557.1653247295608</v>
      </c>
      <c r="DP24" s="15">
        <v>1690.6014906896623</v>
      </c>
      <c r="DQ24" s="15">
        <v>2926.4685656831393</v>
      </c>
      <c r="DR24" s="15">
        <v>1191.7692667348499</v>
      </c>
      <c r="DS24" s="15">
        <v>38777.613788847921</v>
      </c>
      <c r="DT24" s="18">
        <f t="shared" si="4"/>
        <v>0.23367007993383454</v>
      </c>
      <c r="DU24" s="18">
        <f t="shared" si="5"/>
        <v>0.31335618282339694</v>
      </c>
      <c r="DV24" s="18">
        <f t="shared" si="6"/>
        <v>4.6515578380323989E-2</v>
      </c>
      <c r="DW24" s="18">
        <f t="shared" si="7"/>
        <v>-5.8701832219176547E-2</v>
      </c>
      <c r="DX24" s="18">
        <f t="shared" si="8"/>
        <v>7.7938893403633483E-2</v>
      </c>
      <c r="DY24" s="18">
        <f t="shared" si="9"/>
        <v>0.16832083860450722</v>
      </c>
      <c r="DZ24" s="18">
        <f t="shared" si="10"/>
        <v>-5.7531478147443825E-2</v>
      </c>
      <c r="EA24" s="18">
        <f t="shared" si="11"/>
        <v>0.19823694572232256</v>
      </c>
      <c r="EB24" s="18">
        <f t="shared" si="12"/>
        <v>7.8194791498601576E-2</v>
      </c>
      <c r="EC24" s="18">
        <f t="shared" si="13"/>
        <v>0.63967775237491864</v>
      </c>
      <c r="ED24" s="18">
        <f t="shared" si="14"/>
        <v>0.105338937444362</v>
      </c>
      <c r="EE24" s="18">
        <f t="shared" si="15"/>
        <v>7.3076591792592321E-2</v>
      </c>
      <c r="EF24" s="18">
        <f t="shared" si="16"/>
        <v>5.1877089338563213E-2</v>
      </c>
      <c r="EG24" s="18">
        <f t="shared" si="17"/>
        <v>3.6290137975700597E-2</v>
      </c>
      <c r="EH24" s="18">
        <f t="shared" si="18"/>
        <v>7.4631711442451579E-2</v>
      </c>
      <c r="EI24" s="18">
        <f t="shared" si="19"/>
        <v>4.2318602898807671E-2</v>
      </c>
      <c r="EJ24" s="18">
        <f t="shared" si="20"/>
        <v>2.1189292884116428E-2</v>
      </c>
      <c r="EK24" s="18">
        <f t="shared" si="21"/>
        <v>-3.2491467576791805E-2</v>
      </c>
      <c r="EL24" s="18">
        <f t="shared" si="22"/>
        <v>-1.8305903172797369E-2</v>
      </c>
      <c r="EM24" s="6">
        <v>15.223991665426404</v>
      </c>
      <c r="EN24" s="6">
        <v>15.640421953829689</v>
      </c>
      <c r="EO24" s="6">
        <v>16.872932324929913</v>
      </c>
      <c r="EP24" s="6">
        <v>15.398672098988985</v>
      </c>
      <c r="EQ24" s="14">
        <v>77682.600000000006</v>
      </c>
      <c r="ER24" s="14"/>
      <c r="ES24" s="15">
        <v>124949</v>
      </c>
      <c r="ET24" s="15">
        <v>51117.350453271472</v>
      </c>
      <c r="EU24" s="14">
        <v>0</v>
      </c>
      <c r="EX24" s="16"/>
      <c r="EY24" s="16"/>
      <c r="FA24" s="17"/>
      <c r="FB24" s="17"/>
      <c r="FC24" s="17"/>
      <c r="GJ24" s="6">
        <v>1.3560776109121828</v>
      </c>
    </row>
    <row r="25" spans="1:192" ht="15">
      <c r="A25" s="12">
        <v>1933</v>
      </c>
      <c r="B25" s="13"/>
      <c r="C25" s="15">
        <f t="shared" si="0"/>
        <v>268364.70826525969</v>
      </c>
      <c r="D25" s="15">
        <v>64222.149454162194</v>
      </c>
      <c r="E25" s="15">
        <v>4491.2329220888132</v>
      </c>
      <c r="F25" s="15">
        <v>71328.471168981836</v>
      </c>
      <c r="G25" s="15">
        <v>0</v>
      </c>
      <c r="H25" s="15">
        <v>3518.0371570018801</v>
      </c>
      <c r="I25" s="15">
        <v>51778.717830860121</v>
      </c>
      <c r="L25" s="15">
        <v>0</v>
      </c>
      <c r="M25" s="15">
        <v>21141.933117584282</v>
      </c>
      <c r="N25" s="15">
        <v>-13968.169526228598</v>
      </c>
      <c r="O25" s="15">
        <v>-7425.384071886745</v>
      </c>
      <c r="P25" s="15">
        <v>44369.756983577485</v>
      </c>
      <c r="Q25" s="15">
        <v>0</v>
      </c>
      <c r="R25" s="15">
        <v>21228.581927045558</v>
      </c>
      <c r="S25" s="15">
        <v>2.4246064621028608E-2</v>
      </c>
      <c r="T25" s="15">
        <v>-13221.286364286007</v>
      </c>
      <c r="U25" s="15">
        <v>13475.283594472132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50247</v>
      </c>
      <c r="AB25" s="15">
        <v>521</v>
      </c>
      <c r="AC25" s="15">
        <v>1744.0000000000002</v>
      </c>
      <c r="AD25" s="15">
        <v>568.41856299800213</v>
      </c>
      <c r="AE25" s="15">
        <v>-32.51463868286298</v>
      </c>
      <c r="AF25" s="15">
        <v>1726</v>
      </c>
      <c r="AG25" s="15">
        <v>2236.0000000000005</v>
      </c>
      <c r="AH25" s="15">
        <v>13027.903924315138</v>
      </c>
      <c r="AI25" s="15">
        <v>5434</v>
      </c>
      <c r="AJ25" s="15">
        <v>3190.3500539374327</v>
      </c>
      <c r="AK25" s="15">
        <v>2243.6499460625664</v>
      </c>
      <c r="AL25" s="15">
        <f t="shared" si="1"/>
        <v>1618.3478070349979</v>
      </c>
      <c r="AM25" s="15">
        <v>1618.3478070349979</v>
      </c>
      <c r="AN25" s="15">
        <v>0</v>
      </c>
      <c r="AO25" s="15">
        <v>4623.2009191462321</v>
      </c>
      <c r="AP25" s="15">
        <v>2160.1504339440698</v>
      </c>
      <c r="AQ25" s="15"/>
      <c r="AR25" s="15"/>
      <c r="AS25" s="15">
        <v>1044.7693583932191</v>
      </c>
      <c r="AT25" s="15">
        <v>12.970277539450539</v>
      </c>
      <c r="AU25" s="15">
        <f t="shared" si="2"/>
        <v>1031.7990808537686</v>
      </c>
      <c r="AV25" s="15">
        <v>-1570</v>
      </c>
      <c r="AW25" s="15">
        <v>-818.46851851851841</v>
      </c>
      <c r="AX25" s="15">
        <v>37219.096075684858</v>
      </c>
      <c r="AY25" s="15">
        <v>29787</v>
      </c>
      <c r="AZ25" s="15">
        <v>5232</v>
      </c>
      <c r="BA25" s="15"/>
      <c r="BB25" s="15"/>
      <c r="BC25" s="15">
        <v>2333.5814370019971</v>
      </c>
      <c r="BD25" s="15">
        <v>-133.48536131713701</v>
      </c>
      <c r="BE25" s="15">
        <f t="shared" si="3"/>
        <v>2901.9999999999991</v>
      </c>
      <c r="BF25" s="15">
        <v>29000</v>
      </c>
      <c r="BG25" s="15">
        <v>786.99999999999909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49478.230954835679</v>
      </c>
      <c r="BP25" s="15">
        <v>642.28367528991964</v>
      </c>
      <c r="BQ25" s="15">
        <v>126.48536987439854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555</v>
      </c>
      <c r="BZ25" s="15">
        <v>590</v>
      </c>
      <c r="CA25" s="15">
        <v>72</v>
      </c>
      <c r="CB25" s="15">
        <v>518</v>
      </c>
      <c r="CC25" s="15">
        <v>0</v>
      </c>
      <c r="CD25" s="15">
        <v>0</v>
      </c>
      <c r="CE25" s="15">
        <v>0</v>
      </c>
      <c r="CF25" s="15">
        <v>102</v>
      </c>
      <c r="CG25" s="15">
        <v>102</v>
      </c>
      <c r="CH25" s="15">
        <v>6845</v>
      </c>
      <c r="CI25" s="15"/>
      <c r="CJ25" s="15">
        <v>0</v>
      </c>
      <c r="CK25" s="15">
        <v>1322</v>
      </c>
      <c r="CL25" s="15">
        <v>8438</v>
      </c>
      <c r="CM25" s="15">
        <v>8092.0000000000009</v>
      </c>
      <c r="CN25" s="15">
        <v>153.00000000000045</v>
      </c>
      <c r="CO25" s="15">
        <v>0</v>
      </c>
      <c r="CP25" s="15">
        <v>642.28367528991964</v>
      </c>
      <c r="CQ25" s="15">
        <v>0</v>
      </c>
      <c r="CR25" s="15">
        <v>642.28367528991964</v>
      </c>
      <c r="CS25" s="15">
        <v>610.16949152542361</v>
      </c>
      <c r="CT25" s="15">
        <v>32.114183764496012</v>
      </c>
      <c r="CU25" s="15">
        <v>0</v>
      </c>
      <c r="CV25" s="15">
        <v>146.87321608056791</v>
      </c>
      <c r="CW25" s="15">
        <v>390</v>
      </c>
      <c r="CX25" s="15">
        <v>422</v>
      </c>
      <c r="CY25" s="15">
        <v>0</v>
      </c>
      <c r="CZ25" s="15">
        <v>178</v>
      </c>
      <c r="DA25" s="19">
        <v>0</v>
      </c>
      <c r="DB25" s="19">
        <v>0</v>
      </c>
      <c r="DC25" s="19">
        <v>0</v>
      </c>
      <c r="DD25" s="19">
        <v>1.0296060857163725E-2</v>
      </c>
      <c r="DE25" s="19">
        <v>0.16689149240778045</v>
      </c>
      <c r="DF25" s="19">
        <v>0.33251407820349821</v>
      </c>
      <c r="DG25" s="19">
        <v>0.4902983685315575</v>
      </c>
      <c r="DH25" s="15">
        <v>63</v>
      </c>
      <c r="DI25" s="15">
        <v>49298.230954835679</v>
      </c>
      <c r="DJ25" s="15">
        <v>42453.230954835679</v>
      </c>
      <c r="DK25" s="15">
        <v>48925</v>
      </c>
      <c r="DL25" s="18">
        <v>-3.4215636177823201E-2</v>
      </c>
      <c r="DM25" s="15">
        <v>36160</v>
      </c>
      <c r="DN25" s="15">
        <v>27905.054946180833</v>
      </c>
      <c r="DO25" s="15">
        <v>3884.3996318824279</v>
      </c>
      <c r="DP25" s="15">
        <v>1371.5336913814119</v>
      </c>
      <c r="DQ25" s="15">
        <v>2010.1920005770544</v>
      </c>
      <c r="DR25" s="15">
        <v>988.81972997826904</v>
      </c>
      <c r="DS25" s="15">
        <v>36769.636523922491</v>
      </c>
      <c r="DT25" s="18">
        <f t="shared" si="4"/>
        <v>0.23930922165325519</v>
      </c>
      <c r="DU25" s="18">
        <f t="shared" si="5"/>
        <v>0.29563403385236758</v>
      </c>
      <c r="DV25" s="18">
        <f t="shared" si="6"/>
        <v>5.0212577061931551E-2</v>
      </c>
      <c r="DW25" s="18">
        <f t="shared" si="7"/>
        <v>-4.9266114198658686E-2</v>
      </c>
      <c r="DX25" s="18">
        <f t="shared" si="8"/>
        <v>7.8780601422028126E-2</v>
      </c>
      <c r="DY25" s="18">
        <f t="shared" si="9"/>
        <v>0.16533379992618513</v>
      </c>
      <c r="DZ25" s="18">
        <f t="shared" si="10"/>
        <v>-5.2049204295603738E-2</v>
      </c>
      <c r="EA25" s="18">
        <f t="shared" si="11"/>
        <v>0.19294160609106803</v>
      </c>
      <c r="EB25" s="18">
        <f t="shared" si="12"/>
        <v>7.9103478487426868E-2</v>
      </c>
      <c r="EC25" s="18">
        <f t="shared" si="13"/>
        <v>0.64940078926946099</v>
      </c>
      <c r="ED25" s="18">
        <f t="shared" si="14"/>
        <v>0.11406536171678316</v>
      </c>
      <c r="EE25" s="18">
        <f t="shared" si="15"/>
        <v>6.5208994459630715E-2</v>
      </c>
      <c r="EF25" s="18">
        <f t="shared" si="16"/>
        <v>4.5858966705417809E-2</v>
      </c>
      <c r="EG25" s="18">
        <f t="shared" si="17"/>
        <v>3.3078136066121575E-2</v>
      </c>
      <c r="EH25" s="18">
        <f t="shared" si="18"/>
        <v>6.7474724969774802E-2</v>
      </c>
      <c r="EI25" s="18">
        <f t="shared" si="19"/>
        <v>4.4152282758182317E-2</v>
      </c>
      <c r="EJ25" s="18">
        <f t="shared" si="20"/>
        <v>2.1354509113811326E-2</v>
      </c>
      <c r="EK25" s="18">
        <f t="shared" si="21"/>
        <v>-3.2089933571793565E-2</v>
      </c>
      <c r="EL25" s="18">
        <f t="shared" si="22"/>
        <v>-1.6729044834307989E-2</v>
      </c>
      <c r="EM25" s="6">
        <v>15.647850696037938</v>
      </c>
      <c r="EN25" s="6">
        <v>16.103258303163859</v>
      </c>
      <c r="EO25" s="6">
        <v>17.786158043547253</v>
      </c>
      <c r="EP25" s="6">
        <v>15.967297762478484</v>
      </c>
      <c r="EQ25" s="14">
        <v>78764</v>
      </c>
      <c r="ER25" s="14"/>
      <c r="ES25" s="15">
        <v>125690</v>
      </c>
      <c r="ET25" s="15">
        <v>51757.038466730541</v>
      </c>
      <c r="EU25" s="14">
        <v>0</v>
      </c>
      <c r="EX25" s="16"/>
      <c r="EY25" s="16"/>
      <c r="FA25" s="17"/>
      <c r="FB25" s="17"/>
      <c r="FC25" s="17"/>
      <c r="GJ25" s="6">
        <v>1.2492965162779028</v>
      </c>
    </row>
    <row r="26" spans="1:192" ht="15">
      <c r="A26" s="12">
        <v>1934</v>
      </c>
      <c r="B26" s="13"/>
      <c r="C26" s="15">
        <f t="shared" si="0"/>
        <v>291587.44409325777</v>
      </c>
      <c r="D26" s="15">
        <v>72735.397486643211</v>
      </c>
      <c r="E26" s="15">
        <v>4519.4796700264797</v>
      </c>
      <c r="F26" s="15">
        <v>70502.84611066278</v>
      </c>
      <c r="G26" s="15">
        <v>0</v>
      </c>
      <c r="H26" s="15">
        <v>3477.315975329037</v>
      </c>
      <c r="I26" s="15">
        <v>56882.591526257114</v>
      </c>
      <c r="L26" s="15">
        <v>0</v>
      </c>
      <c r="M26" s="15">
        <v>23689.742013530977</v>
      </c>
      <c r="N26" s="15">
        <v>-13610.883725734979</v>
      </c>
      <c r="O26" s="15">
        <v>-7224.9527083736675</v>
      </c>
      <c r="P26" s="15">
        <v>48081.752440053286</v>
      </c>
      <c r="Q26" s="15">
        <v>0</v>
      </c>
      <c r="R26" s="15">
        <v>22641.218228330486</v>
      </c>
      <c r="S26" s="15">
        <v>2.3989337802879488E-2</v>
      </c>
      <c r="T26" s="15">
        <v>-12236.340071786177</v>
      </c>
      <c r="U26" s="15">
        <v>14904.324439945598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59639</v>
      </c>
      <c r="AB26" s="15">
        <v>744</v>
      </c>
      <c r="AC26" s="15">
        <v>2186</v>
      </c>
      <c r="AD26" s="15">
        <v>805.50408719346035</v>
      </c>
      <c r="AE26" s="15">
        <v>-101.17547302833404</v>
      </c>
      <c r="AF26" s="15">
        <v>1741.0000000000002</v>
      </c>
      <c r="AG26" s="15">
        <v>2166</v>
      </c>
      <c r="AH26" s="15">
        <v>15981.328614165126</v>
      </c>
      <c r="AI26" s="15">
        <v>4884</v>
      </c>
      <c r="AJ26" s="15">
        <v>2907.4018453706653</v>
      </c>
      <c r="AK26" s="15">
        <v>1976.5981546293349</v>
      </c>
      <c r="AL26" s="15">
        <f t="shared" si="1"/>
        <v>4249.5673508212394</v>
      </c>
      <c r="AM26" s="15">
        <v>4249.5673508212394</v>
      </c>
      <c r="AN26" s="15">
        <v>0</v>
      </c>
      <c r="AO26" s="15">
        <v>4661.2205034579993</v>
      </c>
      <c r="AP26" s="15">
        <v>2586.1942857142853</v>
      </c>
      <c r="AQ26" s="15"/>
      <c r="AR26" s="15"/>
      <c r="AS26" s="15">
        <v>1134.5129217348701</v>
      </c>
      <c r="AT26" s="15">
        <v>31.73342519286857</v>
      </c>
      <c r="AU26" s="15">
        <f t="shared" si="2"/>
        <v>1102.7794965420017</v>
      </c>
      <c r="AV26" s="15">
        <v>-1481</v>
      </c>
      <c r="AW26" s="15">
        <v>-757.49506172839494</v>
      </c>
      <c r="AX26" s="15">
        <v>43657.671385834867</v>
      </c>
      <c r="AY26" s="15">
        <v>34553</v>
      </c>
      <c r="AZ26" s="15">
        <v>6558</v>
      </c>
      <c r="BA26" s="15"/>
      <c r="BB26" s="15"/>
      <c r="BC26" s="15">
        <v>2912.4959128065393</v>
      </c>
      <c r="BD26" s="15">
        <v>-365.82452697166593</v>
      </c>
      <c r="BE26" s="15">
        <f t="shared" si="3"/>
        <v>3717.9999999999995</v>
      </c>
      <c r="BF26" s="15">
        <v>33700</v>
      </c>
      <c r="BG26" s="15">
        <v>852.99999999999443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58768.176103858008</v>
      </c>
      <c r="BP26" s="15">
        <v>722.56913470115967</v>
      </c>
      <c r="BQ26" s="15">
        <v>148.25476144083257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444</v>
      </c>
      <c r="BZ26" s="15">
        <v>772.00000000000023</v>
      </c>
      <c r="CA26" s="15">
        <v>80</v>
      </c>
      <c r="CB26" s="15">
        <v>692.00000000000011</v>
      </c>
      <c r="CC26" s="15">
        <v>0</v>
      </c>
      <c r="CD26" s="15">
        <v>0</v>
      </c>
      <c r="CE26" s="15">
        <v>0</v>
      </c>
      <c r="CF26" s="15">
        <v>96</v>
      </c>
      <c r="CG26" s="15">
        <v>96</v>
      </c>
      <c r="CH26" s="15">
        <v>8050.0000000000009</v>
      </c>
      <c r="CI26" s="15"/>
      <c r="CJ26" s="15">
        <v>0</v>
      </c>
      <c r="CK26" s="15">
        <v>1362</v>
      </c>
      <c r="CL26" s="15">
        <v>9562.0000000000018</v>
      </c>
      <c r="CM26" s="15">
        <v>9362.0000000000018</v>
      </c>
      <c r="CN26" s="15">
        <v>-302.00000000000006</v>
      </c>
      <c r="CO26" s="15">
        <v>0</v>
      </c>
      <c r="CP26" s="15">
        <v>722.56913470115967</v>
      </c>
      <c r="CQ26" s="15">
        <v>0</v>
      </c>
      <c r="CR26" s="15">
        <v>722.56913470115967</v>
      </c>
      <c r="CS26" s="15">
        <v>686.44067796610159</v>
      </c>
      <c r="CT26" s="15">
        <v>36.128456735058016</v>
      </c>
      <c r="CU26" s="15">
        <v>0</v>
      </c>
      <c r="CV26" s="15">
        <v>839.53505243818677</v>
      </c>
      <c r="CW26" s="15">
        <v>455</v>
      </c>
      <c r="CX26" s="15">
        <v>445</v>
      </c>
      <c r="CY26" s="15">
        <v>0</v>
      </c>
      <c r="CZ26" s="15">
        <v>224</v>
      </c>
      <c r="DA26" s="19">
        <v>0</v>
      </c>
      <c r="DB26" s="19">
        <v>0</v>
      </c>
      <c r="DC26" s="19">
        <v>0</v>
      </c>
      <c r="DD26" s="19">
        <v>1.1945157433100762E-2</v>
      </c>
      <c r="DE26" s="19">
        <v>0.18586148641687161</v>
      </c>
      <c r="DF26" s="19">
        <v>0.3224051917171421</v>
      </c>
      <c r="DG26" s="19">
        <v>0.47978816443288541</v>
      </c>
      <c r="DH26" s="15">
        <v>69</v>
      </c>
      <c r="DI26" s="15">
        <v>59035.176103858008</v>
      </c>
      <c r="DJ26" s="15">
        <v>50985.176103858008</v>
      </c>
      <c r="DK26" s="15">
        <v>58277</v>
      </c>
      <c r="DL26" s="18">
        <v>2.4023199546991093E-2</v>
      </c>
      <c r="DM26" s="15">
        <v>41600</v>
      </c>
      <c r="DN26" s="15">
        <v>31892.68062023431</v>
      </c>
      <c r="DO26" s="15">
        <v>4856.6016748265856</v>
      </c>
      <c r="DP26" s="15">
        <v>1299.0553455793763</v>
      </c>
      <c r="DQ26" s="15">
        <v>2461.9980859902935</v>
      </c>
      <c r="DR26" s="15">
        <v>1089.6642733694375</v>
      </c>
      <c r="DS26" s="15">
        <v>42030.151753627666</v>
      </c>
      <c r="DT26" s="18">
        <f t="shared" si="4"/>
        <v>0.2494462603245029</v>
      </c>
      <c r="DU26" s="18">
        <f t="shared" si="5"/>
        <v>0.26921475305676035</v>
      </c>
      <c r="DV26" s="18">
        <f t="shared" si="6"/>
        <v>5.1114424649844593E-2</v>
      </c>
      <c r="DW26" s="18">
        <f t="shared" si="7"/>
        <v>-4.1964564385950226E-2</v>
      </c>
      <c r="DX26" s="18">
        <f t="shared" si="8"/>
        <v>8.1244040144452648E-2</v>
      </c>
      <c r="DY26" s="18">
        <f t="shared" si="9"/>
        <v>0.16489651188367152</v>
      </c>
      <c r="DZ26" s="18">
        <f t="shared" si="10"/>
        <v>-4.6678565903481906E-2</v>
      </c>
      <c r="EA26" s="18">
        <f t="shared" si="11"/>
        <v>0.19507901550131385</v>
      </c>
      <c r="EB26" s="18">
        <f t="shared" si="12"/>
        <v>7.7648124728886464E-2</v>
      </c>
      <c r="EC26" s="18">
        <f t="shared" si="13"/>
        <v>0.63491422787318608</v>
      </c>
      <c r="ED26" s="18">
        <f t="shared" si="14"/>
        <v>0.12050379146216984</v>
      </c>
      <c r="EE26" s="18">
        <f t="shared" si="15"/>
        <v>4.9889353353306888E-2</v>
      </c>
      <c r="EF26" s="18">
        <f t="shared" si="16"/>
        <v>3.3917294209196334E-2</v>
      </c>
      <c r="EG26" s="18">
        <f t="shared" si="17"/>
        <v>7.2920146040826389E-2</v>
      </c>
      <c r="EH26" s="18">
        <f t="shared" si="18"/>
        <v>5.661273750292567E-2</v>
      </c>
      <c r="EI26" s="18">
        <f t="shared" si="19"/>
        <v>4.437761528071598E-2</v>
      </c>
      <c r="EJ26" s="18">
        <f t="shared" si="20"/>
        <v>1.9467593076769055E-2</v>
      </c>
      <c r="EK26" s="18">
        <f t="shared" si="21"/>
        <v>-2.5413113235067009E-2</v>
      </c>
      <c r="EL26" s="18">
        <f t="shared" si="22"/>
        <v>-1.2998182159829692E-2</v>
      </c>
      <c r="EM26" s="6">
        <v>14.921954777534646</v>
      </c>
      <c r="EN26" s="6">
        <v>15.397953040337146</v>
      </c>
      <c r="EO26" s="6">
        <v>17.209549428669163</v>
      </c>
      <c r="EP26" s="6">
        <v>15.274210447537794</v>
      </c>
      <c r="EQ26" s="14">
        <v>79915.3</v>
      </c>
      <c r="ER26" s="14"/>
      <c r="ES26" s="15">
        <v>126485</v>
      </c>
      <c r="ET26" s="15">
        <v>52429.938154087497</v>
      </c>
      <c r="EU26" s="14">
        <v>0</v>
      </c>
      <c r="EX26" s="16"/>
      <c r="EY26" s="16"/>
      <c r="FA26" s="17"/>
      <c r="FB26" s="17"/>
      <c r="FC26" s="17"/>
      <c r="GJ26" s="6">
        <v>0.59958412975363939</v>
      </c>
    </row>
    <row r="27" spans="1:192" ht="15">
      <c r="A27" s="12">
        <v>1935</v>
      </c>
      <c r="B27" s="13"/>
      <c r="C27" s="15">
        <f t="shared" si="0"/>
        <v>316621.55591150472</v>
      </c>
      <c r="D27" s="15">
        <v>84524.278924540122</v>
      </c>
      <c r="E27" s="15">
        <v>4338.7004832254197</v>
      </c>
      <c r="F27" s="15">
        <v>70602.21792540091</v>
      </c>
      <c r="G27" s="15">
        <v>0</v>
      </c>
      <c r="H27" s="15">
        <v>3482.2171561741893</v>
      </c>
      <c r="I27" s="15">
        <v>63361.502109926478</v>
      </c>
      <c r="L27" s="15">
        <v>0</v>
      </c>
      <c r="M27" s="15">
        <v>25035.610589799482</v>
      </c>
      <c r="N27" s="15">
        <v>-13805.086767030303</v>
      </c>
      <c r="O27" s="15">
        <v>-7299.5356086280754</v>
      </c>
      <c r="P27" s="15">
        <v>50492.590062584037</v>
      </c>
      <c r="Q27" s="15">
        <v>0</v>
      </c>
      <c r="R27" s="15">
        <v>24435.274720926074</v>
      </c>
      <c r="S27" s="15">
        <v>2.369744983939584E-2</v>
      </c>
      <c r="T27" s="15">
        <v>-12207.582515800781</v>
      </c>
      <c r="U27" s="15">
        <v>16361.8332217591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67621.999999999985</v>
      </c>
      <c r="AB27" s="15">
        <v>951</v>
      </c>
      <c r="AC27" s="15">
        <v>2973.25</v>
      </c>
      <c r="AD27" s="15">
        <v>898.60157313631089</v>
      </c>
      <c r="AE27" s="15">
        <v>-135.45846754109243</v>
      </c>
      <c r="AF27" s="15">
        <v>1792</v>
      </c>
      <c r="AG27" s="15">
        <v>2230.9999999999995</v>
      </c>
      <c r="AH27" s="15">
        <v>18429.393105595209</v>
      </c>
      <c r="AI27" s="15">
        <v>4922.0000000000009</v>
      </c>
      <c r="AJ27" s="15">
        <v>2945.3373801916923</v>
      </c>
      <c r="AK27" s="15">
        <v>1976.6626198083077</v>
      </c>
      <c r="AL27" s="15">
        <f t="shared" si="1"/>
        <v>5758.8267771143528</v>
      </c>
      <c r="AM27" s="15">
        <v>5758.8267771143528</v>
      </c>
      <c r="AN27" s="15">
        <v>0</v>
      </c>
      <c r="AO27" s="15">
        <v>4585.8080292685772</v>
      </c>
      <c r="AP27" s="15">
        <v>3385.6858237547895</v>
      </c>
      <c r="AQ27" s="15"/>
      <c r="AR27" s="15"/>
      <c r="AS27" s="15">
        <v>1193.6441846770877</v>
      </c>
      <c r="AT27" s="15">
        <v>39.452213945665044</v>
      </c>
      <c r="AU27" s="15">
        <f t="shared" si="2"/>
        <v>1154.1919707314225</v>
      </c>
      <c r="AV27" s="15">
        <v>-1424</v>
      </c>
      <c r="AW27" s="15">
        <v>-755.71481481481464</v>
      </c>
      <c r="AX27" s="15">
        <v>49192.60689440478</v>
      </c>
      <c r="AY27" s="15">
        <v>37667</v>
      </c>
      <c r="AZ27" s="15">
        <v>8919.75</v>
      </c>
      <c r="BA27" s="15"/>
      <c r="BB27" s="15"/>
      <c r="BC27" s="15">
        <v>3068.39842686369</v>
      </c>
      <c r="BD27" s="15">
        <v>-462.54153245890751</v>
      </c>
      <c r="BE27" s="15">
        <f t="shared" si="3"/>
        <v>3967.0000000000009</v>
      </c>
      <c r="BF27" s="15">
        <v>36700</v>
      </c>
      <c r="BG27" s="15">
        <v>966.99999999999875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66650.119320322454</v>
      </c>
      <c r="BP27" s="15">
        <v>802.8545941123997</v>
      </c>
      <c r="BQ27" s="15">
        <v>169.02608556512385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471</v>
      </c>
      <c r="BZ27" s="15">
        <v>982</v>
      </c>
      <c r="CA27" s="15">
        <v>115</v>
      </c>
      <c r="CB27" s="15">
        <v>867</v>
      </c>
      <c r="CC27" s="15">
        <v>0</v>
      </c>
      <c r="CD27" s="15">
        <v>0</v>
      </c>
      <c r="CE27" s="15">
        <v>0</v>
      </c>
      <c r="CF27" s="15">
        <v>92</v>
      </c>
      <c r="CG27" s="15">
        <v>92</v>
      </c>
      <c r="CH27" s="15">
        <v>8300</v>
      </c>
      <c r="CI27" s="15"/>
      <c r="CJ27" s="15">
        <v>0</v>
      </c>
      <c r="CK27" s="15">
        <v>1290</v>
      </c>
      <c r="CL27" s="15">
        <v>10433.999999999998</v>
      </c>
      <c r="CM27" s="15">
        <v>9845</v>
      </c>
      <c r="CN27" s="15">
        <v>-48.00000000000226</v>
      </c>
      <c r="CO27" s="15">
        <v>0</v>
      </c>
      <c r="CP27" s="15">
        <v>802.8545941123997</v>
      </c>
      <c r="CQ27" s="15">
        <v>0</v>
      </c>
      <c r="CR27" s="15">
        <v>802.8545941123997</v>
      </c>
      <c r="CS27" s="15">
        <v>762.71186440677968</v>
      </c>
      <c r="CT27" s="15">
        <v>40.14272970562002</v>
      </c>
      <c r="CU27" s="15">
        <v>0</v>
      </c>
      <c r="CV27" s="15">
        <v>391.20004499580932</v>
      </c>
      <c r="CW27" s="15">
        <v>568</v>
      </c>
      <c r="CX27" s="15">
        <v>499</v>
      </c>
      <c r="CY27" s="15">
        <v>0</v>
      </c>
      <c r="CZ27" s="15">
        <v>354</v>
      </c>
      <c r="DA27" s="19">
        <v>0</v>
      </c>
      <c r="DB27" s="19">
        <v>0</v>
      </c>
      <c r="DC27" s="19">
        <v>7.5275019412079924E-4</v>
      </c>
      <c r="DD27" s="19">
        <v>1.2852338682006859E-2</v>
      </c>
      <c r="DE27" s="19">
        <v>0.18344307611528043</v>
      </c>
      <c r="DF27" s="19">
        <v>0.32797333726828654</v>
      </c>
      <c r="DG27" s="19">
        <v>0.47497849774030537</v>
      </c>
      <c r="DH27" s="15">
        <v>72</v>
      </c>
      <c r="DI27" s="15">
        <v>66659.119320322454</v>
      </c>
      <c r="DJ27" s="15">
        <v>58359.119320322454</v>
      </c>
      <c r="DK27" s="15">
        <v>66331.999999999985</v>
      </c>
      <c r="DL27" s="18">
        <v>5.6443345594886334E-2</v>
      </c>
      <c r="DM27" s="15">
        <v>46800</v>
      </c>
      <c r="DN27" s="15">
        <v>35414.721808769784</v>
      </c>
      <c r="DO27" s="15">
        <v>6206.7228194448935</v>
      </c>
      <c r="DP27" s="15">
        <v>1283.9553418885621</v>
      </c>
      <c r="DQ27" s="15">
        <v>2692.4278038487446</v>
      </c>
      <c r="DR27" s="15">
        <v>1202.1722260480265</v>
      </c>
      <c r="DS27" s="15">
        <v>47761.430610559015</v>
      </c>
      <c r="DT27" s="18">
        <f t="shared" si="4"/>
        <v>0.26695680488717116</v>
      </c>
      <c r="DU27" s="18">
        <f t="shared" si="5"/>
        <v>0.24768729134386436</v>
      </c>
      <c r="DV27" s="18">
        <f t="shared" si="6"/>
        <v>5.1676308565460426E-2</v>
      </c>
      <c r="DW27" s="18">
        <f t="shared" si="7"/>
        <v>-3.8555753036640321E-2</v>
      </c>
      <c r="DX27" s="18">
        <f t="shared" si="8"/>
        <v>7.9071086988142081E-2</v>
      </c>
      <c r="DY27" s="18">
        <f t="shared" si="9"/>
        <v>0.15947300213727914</v>
      </c>
      <c r="DZ27" s="18">
        <f t="shared" si="10"/>
        <v>-4.3601222056052324E-2</v>
      </c>
      <c r="EA27" s="18">
        <f t="shared" si="11"/>
        <v>0.20011746176762496</v>
      </c>
      <c r="EB27" s="18">
        <f t="shared" si="12"/>
        <v>7.7175019403150483E-2</v>
      </c>
      <c r="EC27" s="18">
        <f t="shared" si="13"/>
        <v>0.605256985201024</v>
      </c>
      <c r="ED27" s="18">
        <f t="shared" si="14"/>
        <v>0.14332813852302634</v>
      </c>
      <c r="EE27" s="18">
        <f t="shared" si="15"/>
        <v>4.4402963580047229E-2</v>
      </c>
      <c r="EF27" s="18">
        <f t="shared" si="16"/>
        <v>2.9799532952546403E-2</v>
      </c>
      <c r="EG27" s="18">
        <f t="shared" si="17"/>
        <v>8.6818229167134331E-2</v>
      </c>
      <c r="EH27" s="18">
        <f t="shared" si="18"/>
        <v>4.9686546904489204E-2</v>
      </c>
      <c r="EI27" s="18">
        <f t="shared" si="19"/>
        <v>5.1041515765464486E-2</v>
      </c>
      <c r="EJ27" s="18">
        <f t="shared" si="20"/>
        <v>1.7994997658401495E-2</v>
      </c>
      <c r="EK27" s="18">
        <f t="shared" si="21"/>
        <v>-2.146776819634566E-2</v>
      </c>
      <c r="EL27" s="18">
        <f t="shared" si="22"/>
        <v>-1.1392914653784218E-2</v>
      </c>
      <c r="EM27" s="6">
        <v>14.627484627484627</v>
      </c>
      <c r="EN27" s="6">
        <v>15.055776306107433</v>
      </c>
      <c r="EO27" s="6">
        <v>16.790825598287917</v>
      </c>
      <c r="EP27" s="6">
        <v>14.906076541045866</v>
      </c>
      <c r="EQ27" s="14">
        <v>81064</v>
      </c>
      <c r="ER27" s="14"/>
      <c r="ES27" s="15">
        <v>127362</v>
      </c>
      <c r="ET27" s="15">
        <v>53147.097891511097</v>
      </c>
      <c r="EU27" s="14">
        <v>0</v>
      </c>
      <c r="EX27" s="16"/>
      <c r="EY27" s="16"/>
      <c r="FA27" s="17"/>
      <c r="FB27" s="17"/>
      <c r="FC27" s="17"/>
      <c r="GJ27" s="6">
        <v>0.49049036867404533</v>
      </c>
    </row>
    <row r="28" spans="1:192" ht="15">
      <c r="A28" s="12">
        <v>1936</v>
      </c>
      <c r="B28" s="13"/>
      <c r="C28" s="15">
        <f t="shared" si="0"/>
        <v>373087.13787053426</v>
      </c>
      <c r="D28" s="15">
        <v>114301.41613526487</v>
      </c>
      <c r="E28" s="15">
        <v>4157.9212964243607</v>
      </c>
      <c r="F28" s="15">
        <v>72052.512723962049</v>
      </c>
      <c r="G28" s="15">
        <v>0</v>
      </c>
      <c r="H28" s="15">
        <v>3553.7480737212268</v>
      </c>
      <c r="I28" s="15">
        <v>75577.666192779507</v>
      </c>
      <c r="L28" s="15">
        <v>0</v>
      </c>
      <c r="M28" s="15">
        <v>28336.901645317161</v>
      </c>
      <c r="N28" s="15">
        <v>-13998.271516282952</v>
      </c>
      <c r="O28" s="15">
        <v>-7374.8895064010239</v>
      </c>
      <c r="P28" s="15">
        <v>55963.565845454876</v>
      </c>
      <c r="Q28" s="15">
        <v>0</v>
      </c>
      <c r="R28" s="15">
        <v>26229.331213521658</v>
      </c>
      <c r="S28" s="15">
        <v>2.344549148690649E-2</v>
      </c>
      <c r="T28" s="15">
        <v>-12178.824959815383</v>
      </c>
      <c r="U28" s="15">
        <v>19091.171220186847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76365</v>
      </c>
      <c r="AB28" s="15">
        <v>1409</v>
      </c>
      <c r="AC28" s="15">
        <v>3033.75</v>
      </c>
      <c r="AD28" s="15">
        <v>1020.3321198656747</v>
      </c>
      <c r="AE28" s="15">
        <v>-66.971606323229622</v>
      </c>
      <c r="AF28" s="15">
        <v>1767</v>
      </c>
      <c r="AG28" s="15">
        <v>2291</v>
      </c>
      <c r="AH28" s="15">
        <v>20814.110513542437</v>
      </c>
      <c r="AI28" s="15">
        <v>4984</v>
      </c>
      <c r="AJ28" s="15">
        <v>2960.6540254895867</v>
      </c>
      <c r="AK28" s="15">
        <v>2023.3459745104137</v>
      </c>
      <c r="AL28" s="15">
        <f t="shared" si="1"/>
        <v>7958.5707533780142</v>
      </c>
      <c r="AM28" s="15">
        <v>7958.5707533780142</v>
      </c>
      <c r="AN28" s="15">
        <v>0</v>
      </c>
      <c r="AO28" s="15">
        <v>4418.2015396676625</v>
      </c>
      <c r="AP28" s="15">
        <v>3450.2954545454545</v>
      </c>
      <c r="AQ28" s="15"/>
      <c r="AR28" s="15"/>
      <c r="AS28" s="15">
        <v>1187.616820310101</v>
      </c>
      <c r="AT28" s="15">
        <v>42.818359977762881</v>
      </c>
      <c r="AU28" s="15">
        <f t="shared" si="2"/>
        <v>1144.7984603323382</v>
      </c>
      <c r="AV28" s="15">
        <v>-1384</v>
      </c>
      <c r="AW28" s="15">
        <v>-753.93456790123446</v>
      </c>
      <c r="AX28" s="15">
        <v>55550.889486457549</v>
      </c>
      <c r="AY28" s="15">
        <v>43289</v>
      </c>
      <c r="AZ28" s="15">
        <v>9101.25</v>
      </c>
      <c r="BA28" s="15"/>
      <c r="BB28" s="15"/>
      <c r="BC28" s="15">
        <v>3382.6678801343255</v>
      </c>
      <c r="BD28" s="15">
        <v>-222.02839367677032</v>
      </c>
      <c r="BE28" s="15">
        <f t="shared" si="3"/>
        <v>4403</v>
      </c>
      <c r="BF28" s="15">
        <v>42000</v>
      </c>
      <c r="BG28" s="15">
        <v>1289.0000000000014</v>
      </c>
      <c r="BH28" s="15">
        <v>0</v>
      </c>
      <c r="BI28" s="15">
        <v>0</v>
      </c>
      <c r="BJ28" s="15">
        <v>0</v>
      </c>
      <c r="BK28" s="15">
        <v>126.88306897823676</v>
      </c>
      <c r="BL28" s="15">
        <v>0</v>
      </c>
      <c r="BM28" s="15">
        <v>0</v>
      </c>
      <c r="BN28" s="15">
        <v>0</v>
      </c>
      <c r="BO28" s="15">
        <v>75096.315888360623</v>
      </c>
      <c r="BP28" s="15">
        <v>1090.3085819131161</v>
      </c>
      <c r="BQ28" s="15">
        <v>179.37552972625744</v>
      </c>
      <c r="BR28" s="15">
        <v>1</v>
      </c>
      <c r="BS28" s="15">
        <v>0</v>
      </c>
      <c r="BT28" s="15">
        <v>1</v>
      </c>
      <c r="BU28" s="15">
        <v>0</v>
      </c>
      <c r="BV28" s="15">
        <v>0</v>
      </c>
      <c r="BW28" s="15">
        <v>0</v>
      </c>
      <c r="BX28" s="15">
        <v>0</v>
      </c>
      <c r="BY28" s="15">
        <v>1881</v>
      </c>
      <c r="BZ28" s="15">
        <v>681</v>
      </c>
      <c r="CA28" s="15">
        <v>218</v>
      </c>
      <c r="CB28" s="15">
        <v>463</v>
      </c>
      <c r="CC28" s="15">
        <v>0</v>
      </c>
      <c r="CD28" s="15">
        <v>0</v>
      </c>
      <c r="CE28" s="15">
        <v>0</v>
      </c>
      <c r="CF28" s="15">
        <v>86</v>
      </c>
      <c r="CG28" s="15">
        <v>86</v>
      </c>
      <c r="CH28" s="15">
        <v>9169</v>
      </c>
      <c r="CI28" s="15"/>
      <c r="CJ28" s="15">
        <v>0</v>
      </c>
      <c r="CK28" s="15">
        <v>1256.0000000000002</v>
      </c>
      <c r="CL28" s="15">
        <v>11974</v>
      </c>
      <c r="CM28" s="15">
        <v>11817</v>
      </c>
      <c r="CN28" s="15">
        <v>-170.99999999999983</v>
      </c>
      <c r="CO28" s="15">
        <v>125.88306897823675</v>
      </c>
      <c r="CP28" s="15">
        <v>963.42551293487952</v>
      </c>
      <c r="CQ28" s="15">
        <v>242</v>
      </c>
      <c r="CR28" s="15">
        <v>963.42551293487952</v>
      </c>
      <c r="CS28" s="15">
        <v>915.25423728813553</v>
      </c>
      <c r="CT28" s="15">
        <v>48.171275646744022</v>
      </c>
      <c r="CU28" s="15">
        <v>0</v>
      </c>
      <c r="CV28" s="15">
        <v>2055.8369177421769</v>
      </c>
      <c r="CW28" s="15">
        <v>732</v>
      </c>
      <c r="CX28" s="15">
        <v>563</v>
      </c>
      <c r="CY28" s="15">
        <v>0</v>
      </c>
      <c r="CZ28" s="15">
        <v>497</v>
      </c>
      <c r="DA28" s="19">
        <v>0</v>
      </c>
      <c r="DB28" s="19">
        <v>0</v>
      </c>
      <c r="DC28" s="19">
        <v>1.5055003882414875E-3</v>
      </c>
      <c r="DD28" s="19">
        <v>1.3759519930913067E-2</v>
      </c>
      <c r="DE28" s="19">
        <v>0.18102466581368915</v>
      </c>
      <c r="DF28" s="19">
        <v>0.33354148281943097</v>
      </c>
      <c r="DG28" s="19">
        <v>0.47016883104772533</v>
      </c>
      <c r="DH28" s="15">
        <v>185.11693102176324</v>
      </c>
      <c r="DI28" s="15">
        <v>75355.198957338856</v>
      </c>
      <c r="DJ28" s="15">
        <v>66186.198957338856</v>
      </c>
      <c r="DK28" s="15">
        <v>75109</v>
      </c>
      <c r="DL28" s="18">
        <v>6.5664567495240259E-2</v>
      </c>
      <c r="DM28" s="15">
        <v>52560</v>
      </c>
      <c r="DN28" s="15">
        <v>39090.149377605121</v>
      </c>
      <c r="DO28" s="15">
        <v>6873.5405901115955</v>
      </c>
      <c r="DP28" s="15">
        <v>1168.8798035924526</v>
      </c>
      <c r="DQ28" s="15">
        <v>3904.7515601712621</v>
      </c>
      <c r="DR28" s="15">
        <v>1522.6786685195632</v>
      </c>
      <c r="DS28" s="15">
        <v>54483.577517663914</v>
      </c>
      <c r="DT28" s="18">
        <f t="shared" si="4"/>
        <v>0.30636654157434084</v>
      </c>
      <c r="DU28" s="18">
        <f t="shared" si="5"/>
        <v>0.21379504678016206</v>
      </c>
      <c r="DV28" s="18">
        <f t="shared" si="6"/>
        <v>5.1170810468442664E-2</v>
      </c>
      <c r="DW28" s="18">
        <f t="shared" si="7"/>
        <v>-3.2643379317036605E-2</v>
      </c>
      <c r="DX28" s="18">
        <f t="shared" si="8"/>
        <v>7.5952502160903781E-2</v>
      </c>
      <c r="DY28" s="18">
        <f t="shared" si="9"/>
        <v>0.15000132720971718</v>
      </c>
      <c r="DZ28" s="18">
        <f t="shared" si="10"/>
        <v>-3.7520112851332124E-2</v>
      </c>
      <c r="EA28" s="18">
        <f t="shared" si="11"/>
        <v>0.20257376500340751</v>
      </c>
      <c r="EB28" s="18">
        <f t="shared" si="12"/>
        <v>7.0303498971394596E-2</v>
      </c>
      <c r="EC28" s="18">
        <f t="shared" si="13"/>
        <v>0.6135620205006036</v>
      </c>
      <c r="ED28" s="18">
        <f t="shared" si="14"/>
        <v>0.12899769777729025</v>
      </c>
      <c r="EE28" s="18">
        <f t="shared" si="15"/>
        <v>3.9418099368778534E-2</v>
      </c>
      <c r="EF28" s="18">
        <f t="shared" si="16"/>
        <v>2.693879527766864E-2</v>
      </c>
      <c r="EG28" s="18">
        <f t="shared" si="17"/>
        <v>0.10596028110317025</v>
      </c>
      <c r="EH28" s="18">
        <f t="shared" si="18"/>
        <v>4.210149968269665E-2</v>
      </c>
      <c r="EI28" s="18">
        <f t="shared" si="19"/>
        <v>4.5937177362838734E-2</v>
      </c>
      <c r="EJ28" s="18">
        <f t="shared" si="20"/>
        <v>1.5811910960205847E-2</v>
      </c>
      <c r="EK28" s="18">
        <f t="shared" si="21"/>
        <v>-1.8426553409045521E-2</v>
      </c>
      <c r="EL28" s="18">
        <f t="shared" si="22"/>
        <v>-1.0037872530605313E-2</v>
      </c>
      <c r="EM28" s="6">
        <v>14.447740112994351</v>
      </c>
      <c r="EN28" s="6">
        <v>14.889244651433561</v>
      </c>
      <c r="EO28" s="6">
        <v>16.628986315412856</v>
      </c>
      <c r="EP28" s="6">
        <v>14.770154870458821</v>
      </c>
      <c r="EQ28" s="14">
        <v>82155.899999999994</v>
      </c>
      <c r="ER28" s="14"/>
      <c r="ES28" s="15">
        <v>128181.00000000001</v>
      </c>
      <c r="ET28" s="15">
        <v>53844.313041528949</v>
      </c>
      <c r="EU28" s="14">
        <v>0</v>
      </c>
      <c r="EX28" s="16"/>
      <c r="EY28" s="16"/>
      <c r="FA28" s="17"/>
      <c r="FB28" s="17"/>
      <c r="FC28" s="17"/>
      <c r="GJ28" s="6">
        <v>0.56527684579797388</v>
      </c>
    </row>
    <row r="29" spans="1:192" ht="15">
      <c r="A29" s="12">
        <v>1937</v>
      </c>
      <c r="B29" s="13"/>
      <c r="C29" s="15">
        <f t="shared" si="0"/>
        <v>373814.70612599701</v>
      </c>
      <c r="D29" s="15">
        <v>106797.43829899083</v>
      </c>
      <c r="E29" s="15">
        <v>3977.1421096233007</v>
      </c>
      <c r="F29" s="15">
        <v>70659.086607377205</v>
      </c>
      <c r="G29" s="15">
        <v>0</v>
      </c>
      <c r="H29" s="15">
        <v>3485.0220128181568</v>
      </c>
      <c r="I29" s="15">
        <v>74876.641633803694</v>
      </c>
      <c r="L29" s="15">
        <v>0</v>
      </c>
      <c r="M29" s="15">
        <v>31718.792882366186</v>
      </c>
      <c r="N29" s="15">
        <v>-14167.002313378811</v>
      </c>
      <c r="O29" s="15">
        <v>-7468.7586587779424</v>
      </c>
      <c r="P29" s="15">
        <v>61366.081945283353</v>
      </c>
      <c r="Q29" s="15">
        <v>0</v>
      </c>
      <c r="R29" s="15">
        <v>28023.387706117242</v>
      </c>
      <c r="S29" s="15">
        <v>2.3225793867693769E-2</v>
      </c>
      <c r="T29" s="15">
        <v>-12150.067403829986</v>
      </c>
      <c r="U29" s="15">
        <v>19228.182646825881</v>
      </c>
      <c r="V29" s="15">
        <v>68</v>
      </c>
      <c r="W29" s="15">
        <v>204.40251572327045</v>
      </c>
      <c r="X29" s="15">
        <v>47.547169811320757</v>
      </c>
      <c r="Y29" s="15">
        <v>24.025157232704412</v>
      </c>
      <c r="Z29" s="15">
        <v>24.025157232704412</v>
      </c>
      <c r="AA29" s="15">
        <v>85128.999999999985</v>
      </c>
      <c r="AB29" s="15">
        <v>1502</v>
      </c>
      <c r="AC29" s="15">
        <v>3571.5000000000005</v>
      </c>
      <c r="AD29" s="15">
        <v>1093.3909910498455</v>
      </c>
      <c r="AE29" s="15">
        <v>-79.39039001763895</v>
      </c>
      <c r="AF29" s="15">
        <v>1800.0000000000002</v>
      </c>
      <c r="AG29" s="15">
        <v>2362</v>
      </c>
      <c r="AH29" s="15">
        <v>22686.500601032192</v>
      </c>
      <c r="AI29" s="15">
        <v>5223.0000000000009</v>
      </c>
      <c r="AJ29" s="15">
        <v>3037.9763365468889</v>
      </c>
      <c r="AK29" s="15">
        <v>2185.0236634531107</v>
      </c>
      <c r="AL29" s="15">
        <f t="shared" si="1"/>
        <v>8735.6271540606413</v>
      </c>
      <c r="AM29" s="15">
        <v>8735.6271540606413</v>
      </c>
      <c r="AN29" s="15">
        <v>0</v>
      </c>
      <c r="AO29" s="15">
        <v>4489.6180294428659</v>
      </c>
      <c r="AP29" s="15">
        <v>4009.788832913518</v>
      </c>
      <c r="AQ29" s="15"/>
      <c r="AR29" s="15"/>
      <c r="AS29" s="15">
        <v>1315.6203045706227</v>
      </c>
      <c r="AT29" s="15">
        <v>53.238334013487581</v>
      </c>
      <c r="AU29" s="15">
        <f t="shared" si="2"/>
        <v>1262.3819705571352</v>
      </c>
      <c r="AV29" s="15">
        <v>-1349</v>
      </c>
      <c r="AW29" s="15">
        <v>-752.15432098765416</v>
      </c>
      <c r="AX29" s="15">
        <v>62442.49939896779</v>
      </c>
      <c r="AY29" s="15">
        <v>48310</v>
      </c>
      <c r="AZ29" s="15">
        <v>10714.500000000002</v>
      </c>
      <c r="BA29" s="15"/>
      <c r="BB29" s="15"/>
      <c r="BC29" s="15">
        <v>3685.6090089501549</v>
      </c>
      <c r="BD29" s="15">
        <v>-267.60960998236106</v>
      </c>
      <c r="BE29" s="15">
        <f t="shared" si="3"/>
        <v>4779</v>
      </c>
      <c r="BF29" s="15">
        <v>46100</v>
      </c>
      <c r="BG29" s="15">
        <v>2210.0000000000009</v>
      </c>
      <c r="BH29" s="15">
        <v>576</v>
      </c>
      <c r="BI29" s="15">
        <v>0</v>
      </c>
      <c r="BJ29" s="15">
        <v>0</v>
      </c>
      <c r="BK29" s="15">
        <v>278.53854666174834</v>
      </c>
      <c r="BL29" s="15">
        <v>0</v>
      </c>
      <c r="BM29" s="15">
        <v>0</v>
      </c>
      <c r="BN29" s="15">
        <v>0</v>
      </c>
      <c r="BO29" s="15">
        <v>83144.505598580698</v>
      </c>
      <c r="BP29" s="15">
        <v>1817.964059596628</v>
      </c>
      <c r="BQ29" s="15">
        <v>209.53034182267476</v>
      </c>
      <c r="BR29" s="15">
        <v>41</v>
      </c>
      <c r="BS29" s="15">
        <v>2.0000000000000018</v>
      </c>
      <c r="BT29" s="15">
        <v>41</v>
      </c>
      <c r="BU29" s="15">
        <v>2</v>
      </c>
      <c r="BV29" s="15">
        <v>0</v>
      </c>
      <c r="BW29" s="15">
        <v>0</v>
      </c>
      <c r="BX29" s="15">
        <v>0</v>
      </c>
      <c r="BY29" s="15">
        <v>584</v>
      </c>
      <c r="BZ29" s="15">
        <v>847</v>
      </c>
      <c r="CA29" s="15">
        <v>397</v>
      </c>
      <c r="CB29" s="15">
        <v>450</v>
      </c>
      <c r="CC29" s="15">
        <v>0</v>
      </c>
      <c r="CD29" s="15">
        <v>0</v>
      </c>
      <c r="CE29" s="15">
        <v>0</v>
      </c>
      <c r="CF29" s="15">
        <v>82</v>
      </c>
      <c r="CG29" s="15">
        <v>82</v>
      </c>
      <c r="CH29" s="15">
        <v>9220</v>
      </c>
      <c r="CI29" s="15"/>
      <c r="CJ29" s="15">
        <v>0</v>
      </c>
      <c r="CK29" s="15">
        <v>1478.0000000000002</v>
      </c>
      <c r="CL29" s="15">
        <v>14364.000000000002</v>
      </c>
      <c r="CM29" s="15">
        <v>10733</v>
      </c>
      <c r="CN29" s="15">
        <v>3197.0000000000005</v>
      </c>
      <c r="CO29" s="15">
        <v>811.53854666174834</v>
      </c>
      <c r="CP29" s="15">
        <v>963.42551293487975</v>
      </c>
      <c r="CQ29" s="15">
        <v>1030</v>
      </c>
      <c r="CR29" s="15">
        <v>963.42551293487975</v>
      </c>
      <c r="CS29" s="15">
        <v>915.25423728813576</v>
      </c>
      <c r="CT29" s="15">
        <v>48.171275646744036</v>
      </c>
      <c r="CU29" s="15">
        <v>0</v>
      </c>
      <c r="CV29" s="15">
        <v>2215.3144614110188</v>
      </c>
      <c r="CW29" s="15">
        <v>1305</v>
      </c>
      <c r="CX29" s="15">
        <v>617</v>
      </c>
      <c r="CY29" s="15">
        <v>0</v>
      </c>
      <c r="CZ29" s="15">
        <v>526</v>
      </c>
      <c r="DA29" s="19">
        <v>0</v>
      </c>
      <c r="DB29" s="19">
        <v>0</v>
      </c>
      <c r="DC29" s="19">
        <v>2.2582505823621757E-3</v>
      </c>
      <c r="DD29" s="19">
        <v>1.4666701179819164E-2</v>
      </c>
      <c r="DE29" s="19">
        <v>0.17860625551209808</v>
      </c>
      <c r="DF29" s="19">
        <v>0.33910962837057529</v>
      </c>
      <c r="DG29" s="19">
        <v>0.46535916435514529</v>
      </c>
      <c r="DH29" s="15">
        <v>618.46145333825177</v>
      </c>
      <c r="DI29" s="15">
        <v>80715.044145242413</v>
      </c>
      <c r="DJ29" s="15">
        <v>71495.044145242413</v>
      </c>
      <c r="DK29" s="15">
        <v>83651</v>
      </c>
      <c r="DL29" s="18">
        <v>4.5020382302662254E-2</v>
      </c>
      <c r="DM29" s="15">
        <v>57840</v>
      </c>
      <c r="DN29" s="15">
        <v>43365.258515485977</v>
      </c>
      <c r="DO29" s="15">
        <v>7702.7879977145558</v>
      </c>
      <c r="DP29" s="15">
        <v>1004.1790753235617</v>
      </c>
      <c r="DQ29" s="15">
        <v>4172.3539526080767</v>
      </c>
      <c r="DR29" s="15">
        <v>1595.4204588678324</v>
      </c>
      <c r="DS29" s="15">
        <v>58544.471612270194</v>
      </c>
      <c r="DT29" s="18">
        <f t="shared" si="4"/>
        <v>0.285696192655925</v>
      </c>
      <c r="DU29" s="18">
        <f t="shared" si="5"/>
        <v>0.20898388813918761</v>
      </c>
      <c r="DV29" s="18">
        <f t="shared" si="6"/>
        <v>5.1437737284591688E-2</v>
      </c>
      <c r="DW29" s="18">
        <f t="shared" si="7"/>
        <v>-3.2502914424492213E-2</v>
      </c>
      <c r="DX29" s="18">
        <f t="shared" si="8"/>
        <v>8.4851645380893959E-2</v>
      </c>
      <c r="DY29" s="18">
        <f t="shared" si="9"/>
        <v>0.1641617650125286</v>
      </c>
      <c r="DZ29" s="18">
        <f t="shared" si="10"/>
        <v>-3.7898461674227758E-2</v>
      </c>
      <c r="EA29" s="18">
        <f t="shared" si="11"/>
        <v>0.20030416248141392</v>
      </c>
      <c r="EB29" s="18">
        <f t="shared" si="12"/>
        <v>7.4965985144179306E-2</v>
      </c>
      <c r="EC29" s="18">
        <f t="shared" si="13"/>
        <v>0.61357992116959925</v>
      </c>
      <c r="ED29" s="18">
        <f t="shared" si="14"/>
        <v>0.136083669330815</v>
      </c>
      <c r="EE29" s="18">
        <f t="shared" si="15"/>
        <v>3.6317274587833841E-2</v>
      </c>
      <c r="EF29" s="18">
        <f t="shared" si="16"/>
        <v>2.6120711808025138E-2</v>
      </c>
      <c r="EG29" s="18">
        <f t="shared" si="17"/>
        <v>0.10442944082032063</v>
      </c>
      <c r="EH29" s="18">
        <f t="shared" si="18"/>
        <v>3.600217605818061E-2</v>
      </c>
      <c r="EI29" s="18">
        <f t="shared" si="19"/>
        <v>4.7934738770768051E-2</v>
      </c>
      <c r="EJ29" s="18">
        <f t="shared" si="20"/>
        <v>1.5727490461209342E-2</v>
      </c>
      <c r="EK29" s="18">
        <f t="shared" si="21"/>
        <v>-1.612652568409224E-2</v>
      </c>
      <c r="EL29" s="18">
        <f t="shared" si="22"/>
        <v>-8.9915759642760305E-3</v>
      </c>
      <c r="EM29" s="6">
        <v>13.937866194304402</v>
      </c>
      <c r="EN29" s="6">
        <v>14.429337094499296</v>
      </c>
      <c r="EO29" s="6">
        <v>16.04890539743333</v>
      </c>
      <c r="EP29" s="6">
        <v>14.252374301675976</v>
      </c>
      <c r="EQ29" s="14">
        <v>83215.7</v>
      </c>
      <c r="ER29" s="14"/>
      <c r="ES29" s="15">
        <v>128961.00000000001</v>
      </c>
      <c r="ET29" s="15">
        <v>54539.104556864208</v>
      </c>
      <c r="EU29" s="14">
        <v>0</v>
      </c>
      <c r="EX29" s="16"/>
      <c r="EY29" s="16"/>
      <c r="FA29" s="17"/>
      <c r="FB29" s="17"/>
      <c r="FC29" s="17"/>
      <c r="GJ29" s="6">
        <v>0.530216329550531</v>
      </c>
    </row>
    <row r="30" spans="1:192" ht="15">
      <c r="A30" s="12">
        <v>1938</v>
      </c>
      <c r="B30" s="13"/>
      <c r="C30" s="15">
        <f t="shared" si="0"/>
        <v>354614.24637051864</v>
      </c>
      <c r="D30" s="15">
        <v>90371.76724130816</v>
      </c>
      <c r="E30" s="15">
        <v>3796.3629228222421</v>
      </c>
      <c r="F30" s="15">
        <v>68452.011946664323</v>
      </c>
      <c r="G30" s="15">
        <v>0</v>
      </c>
      <c r="H30" s="15">
        <v>3376.1654715603127</v>
      </c>
      <c r="I30" s="15">
        <v>70279.611708335171</v>
      </c>
      <c r="L30" s="15">
        <v>0</v>
      </c>
      <c r="M30" s="15">
        <v>32891.024772406949</v>
      </c>
      <c r="N30" s="15">
        <v>-14339.593167938878</v>
      </c>
      <c r="O30" s="15">
        <v>-7559.7051773704543</v>
      </c>
      <c r="P30" s="15">
        <v>63345.961276521746</v>
      </c>
      <c r="Q30" s="15">
        <v>0</v>
      </c>
      <c r="R30" s="15">
        <v>29817.444198712823</v>
      </c>
      <c r="S30" s="15">
        <v>2.3032533788702778E-2</v>
      </c>
      <c r="T30" s="15">
        <v>-12121.30984784459</v>
      </c>
      <c r="U30" s="15">
        <v>18744.799847970393</v>
      </c>
      <c r="V30" s="15">
        <v>71.400000000000006</v>
      </c>
      <c r="W30" s="15">
        <v>137.2037914691943</v>
      </c>
      <c r="X30" s="15">
        <v>55.979146919431273</v>
      </c>
      <c r="Y30" s="15">
        <v>19.208530805687211</v>
      </c>
      <c r="Z30" s="15">
        <v>19.208530805687211</v>
      </c>
      <c r="AA30" s="15">
        <v>78460</v>
      </c>
      <c r="AB30" s="15">
        <v>1029</v>
      </c>
      <c r="AC30" s="15">
        <v>3084.5000000000005</v>
      </c>
      <c r="AD30" s="15">
        <v>1020.107739226078</v>
      </c>
      <c r="AE30" s="15">
        <v>-104.9691959375491</v>
      </c>
      <c r="AF30" s="15">
        <v>1861.0000000000002</v>
      </c>
      <c r="AG30" s="15">
        <v>2416.0000000000005</v>
      </c>
      <c r="AH30" s="15">
        <v>20533.638543288533</v>
      </c>
      <c r="AI30" s="15">
        <v>5641</v>
      </c>
      <c r="AJ30" s="15">
        <v>3196.5666666666666</v>
      </c>
      <c r="AK30" s="15">
        <v>2444.4333333333329</v>
      </c>
      <c r="AL30" s="15">
        <f t="shared" si="1"/>
        <v>6794.2060694766878</v>
      </c>
      <c r="AM30" s="15">
        <v>6794.2060694766878</v>
      </c>
      <c r="AN30" s="15">
        <v>0</v>
      </c>
      <c r="AO30" s="15">
        <v>4315.0089678936929</v>
      </c>
      <c r="AP30" s="15">
        <v>3534.0361087510623</v>
      </c>
      <c r="AQ30" s="15"/>
      <c r="AR30" s="15"/>
      <c r="AS30" s="15">
        <v>1383.6229279526369</v>
      </c>
      <c r="AT30" s="15">
        <v>51.631895846328987</v>
      </c>
      <c r="AU30" s="15">
        <f t="shared" si="2"/>
        <v>1331.991032106308</v>
      </c>
      <c r="AV30" s="15">
        <v>-1299.0000000000002</v>
      </c>
      <c r="AW30" s="15">
        <v>-750.37407407407375</v>
      </c>
      <c r="AX30" s="15">
        <v>57926.361456711471</v>
      </c>
      <c r="AY30" s="15">
        <v>45411.999999999993</v>
      </c>
      <c r="AZ30" s="15">
        <v>9253.5</v>
      </c>
      <c r="BA30" s="15"/>
      <c r="BB30" s="15"/>
      <c r="BC30" s="15">
        <v>3634.8922607739237</v>
      </c>
      <c r="BD30" s="15">
        <v>-374.0308040624509</v>
      </c>
      <c r="BE30" s="15">
        <f t="shared" si="3"/>
        <v>4655.0000000000018</v>
      </c>
      <c r="BF30" s="15">
        <v>43000</v>
      </c>
      <c r="BG30" s="15">
        <v>2411.9999999999991</v>
      </c>
      <c r="BH30" s="15">
        <v>521</v>
      </c>
      <c r="BI30" s="15">
        <v>0</v>
      </c>
      <c r="BJ30" s="15">
        <v>0</v>
      </c>
      <c r="BK30" s="15">
        <v>519.61637772039819</v>
      </c>
      <c r="BL30" s="15">
        <v>0</v>
      </c>
      <c r="BM30" s="15">
        <v>0</v>
      </c>
      <c r="BN30" s="15">
        <v>0</v>
      </c>
      <c r="BO30" s="15">
        <v>76646.300745701781</v>
      </c>
      <c r="BP30" s="15">
        <v>2084.3273500665182</v>
      </c>
      <c r="BQ30" s="15">
        <v>230.37190423169585</v>
      </c>
      <c r="BR30" s="15">
        <v>108</v>
      </c>
      <c r="BS30" s="15">
        <v>393</v>
      </c>
      <c r="BT30" s="15">
        <v>108</v>
      </c>
      <c r="BU30" s="15">
        <v>393</v>
      </c>
      <c r="BV30" s="15">
        <v>0</v>
      </c>
      <c r="BW30" s="15">
        <v>0</v>
      </c>
      <c r="BX30" s="15">
        <v>0</v>
      </c>
      <c r="BY30" s="15">
        <v>524</v>
      </c>
      <c r="BZ30" s="15">
        <v>1013.9999999999998</v>
      </c>
      <c r="CA30" s="15">
        <v>509</v>
      </c>
      <c r="CB30" s="15">
        <v>505</v>
      </c>
      <c r="CC30" s="15">
        <v>0</v>
      </c>
      <c r="CD30" s="15">
        <v>0</v>
      </c>
      <c r="CE30" s="15">
        <v>0</v>
      </c>
      <c r="CF30" s="15">
        <v>62</v>
      </c>
      <c r="CG30" s="15">
        <v>62</v>
      </c>
      <c r="CH30" s="15">
        <v>9880</v>
      </c>
      <c r="CI30" s="15"/>
      <c r="CJ30" s="15">
        <v>0</v>
      </c>
      <c r="CK30" s="15">
        <v>1452</v>
      </c>
      <c r="CL30" s="15">
        <v>13958.000000000002</v>
      </c>
      <c r="CM30" s="15">
        <v>11480</v>
      </c>
      <c r="CN30" s="15">
        <v>1457.0000000000002</v>
      </c>
      <c r="CO30" s="15">
        <v>539.61637772039808</v>
      </c>
      <c r="CP30" s="15">
        <v>1043.7109723461197</v>
      </c>
      <c r="CQ30" s="15">
        <v>1199</v>
      </c>
      <c r="CR30" s="15">
        <v>1043.7109723461197</v>
      </c>
      <c r="CS30" s="15">
        <v>991.52542372881373</v>
      </c>
      <c r="CT30" s="15">
        <v>52.185548617306033</v>
      </c>
      <c r="CU30" s="15">
        <v>0</v>
      </c>
      <c r="CV30" s="15">
        <v>1807.2056615686272</v>
      </c>
      <c r="CW30" s="15">
        <v>1231</v>
      </c>
      <c r="CX30" s="15">
        <v>627</v>
      </c>
      <c r="CY30" s="15">
        <v>0</v>
      </c>
      <c r="CZ30" s="15">
        <v>522</v>
      </c>
      <c r="DA30" s="19">
        <v>0</v>
      </c>
      <c r="DB30" s="19">
        <v>0</v>
      </c>
      <c r="DC30" s="19">
        <v>3.011000776483086E-3</v>
      </c>
      <c r="DD30" s="19">
        <v>1.5573882428725372E-2</v>
      </c>
      <c r="DE30" s="19">
        <v>0.17618784521050679</v>
      </c>
      <c r="DF30" s="19">
        <v>0.34467777392171972</v>
      </c>
      <c r="DG30" s="19">
        <v>0.46054949766256525</v>
      </c>
      <c r="DH30" s="15">
        <v>576.38362227960192</v>
      </c>
      <c r="DI30" s="15">
        <v>75687.917123422158</v>
      </c>
      <c r="DJ30" s="15">
        <v>65807.917123422158</v>
      </c>
      <c r="DK30" s="15">
        <v>77008</v>
      </c>
      <c r="DL30" s="18">
        <v>4.6027685435279457E-2</v>
      </c>
      <c r="DM30" s="15">
        <v>52960</v>
      </c>
      <c r="DN30" s="15">
        <v>40933.699882893561</v>
      </c>
      <c r="DO30" s="15">
        <v>6895.4013356760934</v>
      </c>
      <c r="DP30" s="15">
        <v>939.37287223649082</v>
      </c>
      <c r="DQ30" s="15">
        <v>2769.3233522145374</v>
      </c>
      <c r="DR30" s="15">
        <v>1422.2025569793195</v>
      </c>
      <c r="DS30" s="15">
        <v>53870.774518341306</v>
      </c>
      <c r="DT30" s="18">
        <f t="shared" si="4"/>
        <v>0.25484528093911724</v>
      </c>
      <c r="DU30" s="18">
        <f t="shared" si="5"/>
        <v>0.21325860738835231</v>
      </c>
      <c r="DV30" s="18">
        <f t="shared" si="6"/>
        <v>5.2859692016955492E-2</v>
      </c>
      <c r="DW30" s="18">
        <f t="shared" si="7"/>
        <v>-3.4181677617034147E-2</v>
      </c>
      <c r="DX30" s="18">
        <f t="shared" si="8"/>
        <v>9.2751560629746294E-2</v>
      </c>
      <c r="DY30" s="18">
        <f t="shared" si="9"/>
        <v>0.17863343597971168</v>
      </c>
      <c r="DZ30" s="18">
        <f t="shared" si="10"/>
        <v>-4.0437160420667806E-2</v>
      </c>
      <c r="EA30" s="18">
        <f t="shared" si="11"/>
        <v>0.19818609214843425</v>
      </c>
      <c r="EB30" s="18">
        <f t="shared" si="12"/>
        <v>8.4084168935384715E-2</v>
      </c>
      <c r="EC30" s="18">
        <f t="shared" si="13"/>
        <v>0.6289164247921768</v>
      </c>
      <c r="ED30" s="18">
        <f t="shared" si="14"/>
        <v>0.12815287009632717</v>
      </c>
      <c r="EE30" s="18">
        <f t="shared" si="15"/>
        <v>4.1509540134358335E-2</v>
      </c>
      <c r="EF30" s="18">
        <f t="shared" si="16"/>
        <v>3.1742589514509312E-2</v>
      </c>
      <c r="EG30" s="18">
        <f t="shared" si="17"/>
        <v>8.8227275990503423E-2</v>
      </c>
      <c r="EH30" s="18">
        <f t="shared" si="18"/>
        <v>3.7178071991139788E-2</v>
      </c>
      <c r="EI30" s="18">
        <f t="shared" si="19"/>
        <v>4.5891804861197046E-2</v>
      </c>
      <c r="EJ30" s="18">
        <f t="shared" si="20"/>
        <v>1.7967262205908958E-2</v>
      </c>
      <c r="EK30" s="18">
        <f t="shared" si="21"/>
        <v>-1.6868377311448163E-2</v>
      </c>
      <c r="EL30" s="18">
        <f t="shared" si="22"/>
        <v>-9.7441054705235015E-3</v>
      </c>
      <c r="EM30" s="6">
        <v>14.201027349715396</v>
      </c>
      <c r="EN30" s="6">
        <v>14.756094042982836</v>
      </c>
      <c r="EO30" s="6">
        <v>16.353150049517382</v>
      </c>
      <c r="EP30" s="6">
        <v>14.584393311419179</v>
      </c>
      <c r="EQ30" s="14">
        <v>84343.5</v>
      </c>
      <c r="ER30" s="14"/>
      <c r="ES30" s="15">
        <v>129969</v>
      </c>
      <c r="ET30" s="15">
        <v>55342.212127616192</v>
      </c>
      <c r="EU30" s="15">
        <v>0.25</v>
      </c>
      <c r="EX30" s="16"/>
      <c r="EY30" s="16"/>
      <c r="FA30" s="17"/>
      <c r="FB30" s="17"/>
      <c r="FC30" s="17"/>
      <c r="GJ30" s="6">
        <v>0.46232470240049894</v>
      </c>
    </row>
    <row r="31" spans="1:192" ht="15">
      <c r="A31" s="12">
        <v>1939</v>
      </c>
      <c r="B31" s="13"/>
      <c r="C31" s="15">
        <f t="shared" si="0"/>
        <v>365967.81643672282</v>
      </c>
      <c r="D31" s="15">
        <v>95690.091344459783</v>
      </c>
      <c r="E31" s="15">
        <v>3615.5837360211831</v>
      </c>
      <c r="F31" s="15">
        <v>67914.520643023949</v>
      </c>
      <c r="G31" s="15">
        <v>0</v>
      </c>
      <c r="H31" s="15">
        <v>3349.6555191278185</v>
      </c>
      <c r="I31" s="15">
        <v>72757.852650248751</v>
      </c>
      <c r="L31" s="15">
        <v>0</v>
      </c>
      <c r="M31" s="15">
        <v>33440.1614590588</v>
      </c>
      <c r="N31" s="15">
        <v>-14518.165435146278</v>
      </c>
      <c r="O31" s="15">
        <v>-7646.1228828964031</v>
      </c>
      <c r="P31" s="15">
        <v>64406.625290788921</v>
      </c>
      <c r="Q31" s="15">
        <v>0</v>
      </c>
      <c r="R31" s="15">
        <v>31611.500691308403</v>
      </c>
      <c r="S31" s="15">
        <v>2.2861209998207496E-2</v>
      </c>
      <c r="T31" s="15">
        <v>-12092.552291859194</v>
      </c>
      <c r="U31" s="15">
        <v>19792.542829690545</v>
      </c>
      <c r="V31" s="15">
        <v>57.800000000000004</v>
      </c>
      <c r="W31" s="15">
        <v>167.83869693978284</v>
      </c>
      <c r="X31" s="15">
        <v>56.398815399802572</v>
      </c>
      <c r="Y31" s="15">
        <v>20.131243830207325</v>
      </c>
      <c r="Z31" s="15">
        <v>20.131243830207325</v>
      </c>
      <c r="AA31" s="15">
        <v>83890.000000000015</v>
      </c>
      <c r="AB31" s="15">
        <v>1441</v>
      </c>
      <c r="AC31" s="15">
        <v>3251.4999999999995</v>
      </c>
      <c r="AD31" s="15">
        <v>1108.9116031241736</v>
      </c>
      <c r="AE31" s="15">
        <v>-181.58684140852532</v>
      </c>
      <c r="AF31" s="15">
        <v>1833</v>
      </c>
      <c r="AG31" s="15">
        <v>2452</v>
      </c>
      <c r="AH31" s="15">
        <v>22444.824761715648</v>
      </c>
      <c r="AI31" s="15">
        <v>5721</v>
      </c>
      <c r="AJ31" s="15">
        <v>3221.0054012345681</v>
      </c>
      <c r="AK31" s="15">
        <v>2499.9945987654319</v>
      </c>
      <c r="AL31" s="15">
        <f t="shared" si="1"/>
        <v>8337.5643946568525</v>
      </c>
      <c r="AM31" s="15">
        <v>8337.5643946568525</v>
      </c>
      <c r="AN31" s="15">
        <v>0</v>
      </c>
      <c r="AO31" s="15">
        <v>4305.3042343823236</v>
      </c>
      <c r="AP31" s="15">
        <v>3696.5619168787102</v>
      </c>
      <c r="AQ31" s="15"/>
      <c r="AR31" s="15"/>
      <c r="AS31" s="15">
        <v>1467.6632812426099</v>
      </c>
      <c r="AT31" s="15">
        <v>62.967515624931593</v>
      </c>
      <c r="AU31" s="15">
        <f t="shared" si="2"/>
        <v>1404.6957656176783</v>
      </c>
      <c r="AV31" s="15">
        <v>-1262</v>
      </c>
      <c r="AW31" s="15">
        <v>-748.59382716049367</v>
      </c>
      <c r="AX31" s="15">
        <v>61445.175238284348</v>
      </c>
      <c r="AY31" s="15">
        <v>48553</v>
      </c>
      <c r="AZ31" s="15">
        <v>9754.4999999999982</v>
      </c>
      <c r="BA31" s="15"/>
      <c r="BB31" s="15"/>
      <c r="BC31" s="15">
        <v>3752.0883968758289</v>
      </c>
      <c r="BD31" s="15">
        <v>-614.41315859147471</v>
      </c>
      <c r="BE31" s="15">
        <f t="shared" si="3"/>
        <v>4861.0000000000027</v>
      </c>
      <c r="BF31" s="15">
        <v>46000</v>
      </c>
      <c r="BG31" s="15">
        <v>2552.9999999999973</v>
      </c>
      <c r="BH31" s="15">
        <v>581</v>
      </c>
      <c r="BI31" s="15">
        <v>0</v>
      </c>
      <c r="BJ31" s="15">
        <v>0</v>
      </c>
      <c r="BK31" s="15">
        <v>555.86868314275148</v>
      </c>
      <c r="BL31" s="15">
        <v>0</v>
      </c>
      <c r="BM31" s="15">
        <v>0</v>
      </c>
      <c r="BN31" s="15">
        <v>0</v>
      </c>
      <c r="BO31" s="15">
        <v>82014.641862094344</v>
      </c>
      <c r="BP31" s="15">
        <v>2180.5796554888711</v>
      </c>
      <c r="BQ31" s="15">
        <v>253.77848241678629</v>
      </c>
      <c r="BR31" s="15">
        <v>124</v>
      </c>
      <c r="BS31" s="15">
        <v>434.99999999999994</v>
      </c>
      <c r="BT31" s="15">
        <v>124</v>
      </c>
      <c r="BU31" s="15">
        <v>435</v>
      </c>
      <c r="BV31" s="15">
        <v>0</v>
      </c>
      <c r="BW31" s="15">
        <v>0</v>
      </c>
      <c r="BX31" s="15">
        <v>0</v>
      </c>
      <c r="BY31" s="15">
        <v>541</v>
      </c>
      <c r="BZ31" s="15">
        <v>1069.9999999999998</v>
      </c>
      <c r="CA31" s="15">
        <v>566</v>
      </c>
      <c r="CB31" s="15">
        <v>504</v>
      </c>
      <c r="CC31" s="15">
        <v>0</v>
      </c>
      <c r="CD31" s="15">
        <v>0</v>
      </c>
      <c r="CE31" s="15">
        <v>0</v>
      </c>
      <c r="CF31" s="15">
        <v>24</v>
      </c>
      <c r="CG31" s="15">
        <v>24</v>
      </c>
      <c r="CH31" s="15">
        <v>10575</v>
      </c>
      <c r="CI31" s="15"/>
      <c r="CJ31" s="15">
        <v>0</v>
      </c>
      <c r="CK31" s="15">
        <v>1475</v>
      </c>
      <c r="CL31" s="15">
        <v>14314.000000000002</v>
      </c>
      <c r="CM31" s="15">
        <v>12209.999999999998</v>
      </c>
      <c r="CN31" s="15">
        <v>706.00000000000307</v>
      </c>
      <c r="CO31" s="15">
        <v>577.86868314275125</v>
      </c>
      <c r="CP31" s="15">
        <v>1043.7109723461197</v>
      </c>
      <c r="CQ31" s="15">
        <v>1304</v>
      </c>
      <c r="CR31" s="15">
        <v>1043.7109723461197</v>
      </c>
      <c r="CS31" s="15">
        <v>991.52542372881373</v>
      </c>
      <c r="CT31" s="15">
        <v>52.185548617306033</v>
      </c>
      <c r="CU31" s="15">
        <v>50.9</v>
      </c>
      <c r="CV31" s="15">
        <v>2329.9875286374886</v>
      </c>
      <c r="CW31" s="15">
        <v>855</v>
      </c>
      <c r="CX31" s="15">
        <v>632</v>
      </c>
      <c r="CY31" s="15">
        <v>0</v>
      </c>
      <c r="CZ31" s="15">
        <v>488</v>
      </c>
      <c r="DA31" s="19">
        <v>0</v>
      </c>
      <c r="DB31" s="19">
        <v>0</v>
      </c>
      <c r="DC31" s="19">
        <v>3.7637509706037742E-3</v>
      </c>
      <c r="DD31" s="19">
        <v>1.6481063677631469E-2</v>
      </c>
      <c r="DE31" s="19">
        <v>0.17376943490891561</v>
      </c>
      <c r="DF31" s="19">
        <v>0.35024591947286415</v>
      </c>
      <c r="DG31" s="19">
        <v>0.45573983096998522</v>
      </c>
      <c r="DH31" s="15">
        <v>615.13131685724852</v>
      </c>
      <c r="DI31" s="15">
        <v>81843.510545237121</v>
      </c>
      <c r="DJ31" s="15">
        <v>71268.510545237121</v>
      </c>
      <c r="DK31" s="15">
        <v>82415.000000000015</v>
      </c>
      <c r="DL31" s="18">
        <v>7.7079415155008185E-2</v>
      </c>
      <c r="DM31" s="15">
        <v>56480</v>
      </c>
      <c r="DN31" s="15">
        <v>43295.182820719754</v>
      </c>
      <c r="DO31" s="15">
        <v>7306.0890482643044</v>
      </c>
      <c r="DP31" s="15">
        <v>921.34520877026318</v>
      </c>
      <c r="DQ31" s="15">
        <v>3425.3111947586199</v>
      </c>
      <c r="DR31" s="15">
        <v>1532.0717274870613</v>
      </c>
      <c r="DS31" s="15">
        <v>57272.849491057175</v>
      </c>
      <c r="DT31" s="18">
        <f t="shared" si="4"/>
        <v>0.26147132902601822</v>
      </c>
      <c r="DU31" s="18">
        <f t="shared" si="5"/>
        <v>0.20460749971745107</v>
      </c>
      <c r="DV31" s="18">
        <f t="shared" si="6"/>
        <v>5.4082741543784764E-2</v>
      </c>
      <c r="DW31" s="18">
        <f t="shared" si="7"/>
        <v>-3.3042665908711237E-2</v>
      </c>
      <c r="DX31" s="18">
        <f t="shared" si="8"/>
        <v>9.1374596227208754E-2</v>
      </c>
      <c r="DY31" s="18">
        <f t="shared" si="9"/>
        <v>0.17598986139789444</v>
      </c>
      <c r="DZ31" s="18">
        <f t="shared" si="10"/>
        <v>-3.9670607039995066E-2</v>
      </c>
      <c r="EA31" s="18">
        <f t="shared" si="11"/>
        <v>0.19880942908767732</v>
      </c>
      <c r="EB31" s="18">
        <f t="shared" si="12"/>
        <v>8.6377815948671402E-2</v>
      </c>
      <c r="EC31" s="18">
        <f t="shared" si="13"/>
        <v>0.62703859968143605</v>
      </c>
      <c r="ED31" s="18">
        <f t="shared" si="14"/>
        <v>0.12597466728302201</v>
      </c>
      <c r="EE31" s="18">
        <f t="shared" si="15"/>
        <v>3.9082756794692322E-2</v>
      </c>
      <c r="EF31" s="18">
        <f t="shared" si="16"/>
        <v>3.0334218270526379E-2</v>
      </c>
      <c r="EG31" s="18">
        <f t="shared" si="17"/>
        <v>0.10116561784452892</v>
      </c>
      <c r="EH31" s="18">
        <f t="shared" si="18"/>
        <v>3.434210076299609E-2</v>
      </c>
      <c r="EI31" s="18">
        <f t="shared" si="19"/>
        <v>4.4853023319525689E-2</v>
      </c>
      <c r="EJ31" s="18">
        <f t="shared" si="20"/>
        <v>1.7808205802858818E-2</v>
      </c>
      <c r="EK31" s="18">
        <f t="shared" si="21"/>
        <v>-1.5312746466055934E-2</v>
      </c>
      <c r="EL31" s="18">
        <f t="shared" si="22"/>
        <v>-9.0832230438693626E-3</v>
      </c>
      <c r="EM31" s="6">
        <v>14.380711373541404</v>
      </c>
      <c r="EN31" s="6">
        <v>14.95453881011548</v>
      </c>
      <c r="EO31" s="6">
        <v>16.589012790616188</v>
      </c>
      <c r="EP31" s="6">
        <v>14.727522008947899</v>
      </c>
      <c r="EQ31" s="14">
        <v>85485.9</v>
      </c>
      <c r="ER31" s="14"/>
      <c r="ES31" s="15">
        <v>131027.99999999999</v>
      </c>
      <c r="ET31" s="15">
        <v>56181.361740206303</v>
      </c>
      <c r="EU31" s="15">
        <v>0.3</v>
      </c>
      <c r="EX31" s="16"/>
      <c r="EY31" s="16"/>
      <c r="FA31" s="17"/>
      <c r="FB31" s="17"/>
      <c r="FC31" s="17"/>
      <c r="GJ31" s="6">
        <v>0.4483049454750152</v>
      </c>
    </row>
    <row r="32" spans="1:192" ht="15">
      <c r="A32" s="12">
        <v>1940</v>
      </c>
      <c r="B32" s="13"/>
      <c r="C32" s="15">
        <f t="shared" si="0"/>
        <v>372401.40023822663</v>
      </c>
      <c r="D32" s="15">
        <v>88055.222912044483</v>
      </c>
      <c r="E32" s="15">
        <v>3717.2720285967785</v>
      </c>
      <c r="F32" s="15">
        <v>68802.612527138583</v>
      </c>
      <c r="G32" s="15">
        <v>0</v>
      </c>
      <c r="H32" s="15">
        <v>3393.4576670772021</v>
      </c>
      <c r="I32" s="15">
        <v>71942.630011795365</v>
      </c>
      <c r="L32" s="15">
        <v>0</v>
      </c>
      <c r="M32" s="15">
        <v>36950.034813679886</v>
      </c>
      <c r="N32" s="15">
        <v>-14864.044049078648</v>
      </c>
      <c r="O32" s="15">
        <v>-7838.5694248793907</v>
      </c>
      <c r="P32" s="15">
        <v>70114.209830023305</v>
      </c>
      <c r="Q32" s="15">
        <v>0</v>
      </c>
      <c r="R32" s="15">
        <v>34067.712254675018</v>
      </c>
      <c r="S32" s="15">
        <v>2.2630655456821174E-2</v>
      </c>
      <c r="T32" s="15">
        <v>-11912.817566950467</v>
      </c>
      <c r="U32" s="15">
        <v>22135.1098092252</v>
      </c>
      <c r="V32" s="15">
        <v>55.25</v>
      </c>
      <c r="W32" s="15">
        <v>190.14298516091731</v>
      </c>
      <c r="X32" s="15">
        <v>51.708999807284627</v>
      </c>
      <c r="Y32" s="15">
        <v>24.899007515899008</v>
      </c>
      <c r="Z32" s="15">
        <v>24.899007515899008</v>
      </c>
      <c r="AA32" s="15">
        <v>93274</v>
      </c>
      <c r="AB32" s="15">
        <v>2834</v>
      </c>
      <c r="AC32" s="15">
        <v>3536.25</v>
      </c>
      <c r="AD32" s="15">
        <v>1335.0056276490918</v>
      </c>
      <c r="AE32" s="15">
        <v>-185.33485699360062</v>
      </c>
      <c r="AF32" s="15">
        <v>1908</v>
      </c>
      <c r="AG32" s="15">
        <v>2499</v>
      </c>
      <c r="AH32" s="15">
        <v>26425.920770655495</v>
      </c>
      <c r="AI32" s="15">
        <v>5819</v>
      </c>
      <c r="AJ32" s="15">
        <v>3274.7683456916388</v>
      </c>
      <c r="AK32" s="15">
        <v>2544.2316543083612</v>
      </c>
      <c r="AL32" s="15">
        <f t="shared" si="1"/>
        <v>11620.992483135775</v>
      </c>
      <c r="AM32" s="15">
        <v>11620.992483135775</v>
      </c>
      <c r="AN32" s="15">
        <v>0</v>
      </c>
      <c r="AO32" s="15">
        <v>4293.0894479747503</v>
      </c>
      <c r="AP32" s="15">
        <v>3990.9762569832401</v>
      </c>
      <c r="AQ32" s="15"/>
      <c r="AR32" s="15"/>
      <c r="AS32" s="15">
        <v>1559.6590958568577</v>
      </c>
      <c r="AT32" s="15">
        <v>101.74854383160822</v>
      </c>
      <c r="AU32" s="15">
        <f t="shared" si="2"/>
        <v>1457.9105520252494</v>
      </c>
      <c r="AV32" s="15">
        <v>-1270</v>
      </c>
      <c r="AW32" s="15">
        <v>-737.46728395061723</v>
      </c>
      <c r="AX32" s="15">
        <v>66848.079229344527</v>
      </c>
      <c r="AY32" s="15">
        <v>52749.000000000007</v>
      </c>
      <c r="AZ32" s="15">
        <v>10608.75</v>
      </c>
      <c r="BA32" s="15"/>
      <c r="BB32" s="15"/>
      <c r="BC32" s="15">
        <v>4052.99437235091</v>
      </c>
      <c r="BD32" s="15">
        <v>-562.66514300639938</v>
      </c>
      <c r="BE32" s="15">
        <f t="shared" si="3"/>
        <v>5388.0000000000018</v>
      </c>
      <c r="BF32" s="15">
        <v>49900</v>
      </c>
      <c r="BG32" s="15">
        <v>2849.0000000000036</v>
      </c>
      <c r="BH32" s="15">
        <v>656</v>
      </c>
      <c r="BI32" s="15">
        <v>0</v>
      </c>
      <c r="BJ32" s="15">
        <v>0</v>
      </c>
      <c r="BK32" s="15">
        <v>602.99668019181081</v>
      </c>
      <c r="BL32" s="15">
        <v>0</v>
      </c>
      <c r="BM32" s="15">
        <v>0</v>
      </c>
      <c r="BN32" s="15">
        <v>0</v>
      </c>
      <c r="BO32" s="15">
        <v>91214.572994698916</v>
      </c>
      <c r="BP32" s="15">
        <v>2463.2785713604103</v>
      </c>
      <c r="BQ32" s="15">
        <v>283.1484339406864</v>
      </c>
      <c r="BR32" s="15">
        <v>153</v>
      </c>
      <c r="BS32" s="15">
        <v>534</v>
      </c>
      <c r="BT32" s="15">
        <v>153</v>
      </c>
      <c r="BU32" s="15">
        <v>534</v>
      </c>
      <c r="BV32" s="15">
        <v>0</v>
      </c>
      <c r="BW32" s="15">
        <v>0</v>
      </c>
      <c r="BX32" s="15">
        <v>0</v>
      </c>
      <c r="BY32" s="15">
        <v>546</v>
      </c>
      <c r="BZ32" s="15">
        <v>1096</v>
      </c>
      <c r="CA32" s="15">
        <v>630</v>
      </c>
      <c r="CB32" s="15">
        <v>466</v>
      </c>
      <c r="CC32" s="15">
        <v>0</v>
      </c>
      <c r="CD32" s="15">
        <v>0</v>
      </c>
      <c r="CE32" s="15">
        <v>0</v>
      </c>
      <c r="CF32" s="15">
        <v>19</v>
      </c>
      <c r="CG32" s="15">
        <v>19</v>
      </c>
      <c r="CH32" s="15">
        <v>11127</v>
      </c>
      <c r="CI32" s="15"/>
      <c r="CJ32" s="15">
        <v>0</v>
      </c>
      <c r="CK32" s="15">
        <v>1737</v>
      </c>
      <c r="CL32" s="15">
        <v>16636.000000000004</v>
      </c>
      <c r="CM32" s="15">
        <v>12788</v>
      </c>
      <c r="CN32" s="15">
        <v>2367.0000000000009</v>
      </c>
      <c r="CO32" s="15">
        <v>571.99668019181081</v>
      </c>
      <c r="CP32" s="15">
        <v>1204.2818911685997</v>
      </c>
      <c r="CQ32" s="15">
        <v>1376</v>
      </c>
      <c r="CR32" s="15">
        <v>1204.2818911685997</v>
      </c>
      <c r="CS32" s="15">
        <v>1144.0677966101698</v>
      </c>
      <c r="CT32" s="15">
        <v>60.214094558430041</v>
      </c>
      <c r="CU32" s="15">
        <v>101.8</v>
      </c>
      <c r="CV32" s="15">
        <v>4196.6008440838677</v>
      </c>
      <c r="CW32" s="15">
        <v>1014</v>
      </c>
      <c r="CX32" s="15">
        <v>672</v>
      </c>
      <c r="CY32" s="15">
        <v>0</v>
      </c>
      <c r="CZ32" s="15">
        <v>451</v>
      </c>
      <c r="DA32" s="19">
        <v>0</v>
      </c>
      <c r="DB32" s="19">
        <v>0</v>
      </c>
      <c r="DC32" s="19">
        <v>3.920801546994257E-3</v>
      </c>
      <c r="DD32" s="19">
        <v>2.0965060072307251E-2</v>
      </c>
      <c r="DE32" s="19">
        <v>0.18948073031083534</v>
      </c>
      <c r="DF32" s="19">
        <v>0.34403773169240237</v>
      </c>
      <c r="DG32" s="19">
        <v>0.441595676377461</v>
      </c>
      <c r="DH32" s="15">
        <v>611.00331980818908</v>
      </c>
      <c r="DI32" s="15">
        <v>89373.569674890736</v>
      </c>
      <c r="DJ32" s="15">
        <v>78246.569674890736</v>
      </c>
      <c r="DK32" s="15">
        <v>91537</v>
      </c>
      <c r="DL32" s="18">
        <v>0.13259665490457409</v>
      </c>
      <c r="DM32" s="15">
        <v>60720</v>
      </c>
      <c r="DN32" s="15">
        <v>45780.723707970181</v>
      </c>
      <c r="DO32" s="15">
        <v>8083.6169269993125</v>
      </c>
      <c r="DP32" s="15">
        <v>1086.4513025741974</v>
      </c>
      <c r="DQ32" s="15">
        <v>3782.3482349121609</v>
      </c>
      <c r="DR32" s="15">
        <v>1986.8598275441425</v>
      </c>
      <c r="DS32" s="15">
        <v>61477.874213457864</v>
      </c>
      <c r="DT32" s="18">
        <f t="shared" si="4"/>
        <v>0.23645244850238267</v>
      </c>
      <c r="DU32" s="18">
        <f t="shared" si="5"/>
        <v>0.20384816537813905</v>
      </c>
      <c r="DV32" s="18">
        <f t="shared" si="6"/>
        <v>5.9438846886894846E-2</v>
      </c>
      <c r="DW32" s="18">
        <f t="shared" si="7"/>
        <v>-3.1989185753141074E-2</v>
      </c>
      <c r="DX32" s="18">
        <f t="shared" si="8"/>
        <v>9.9220987864285154E-2</v>
      </c>
      <c r="DY32" s="18">
        <f t="shared" si="9"/>
        <v>0.1882759027897612</v>
      </c>
      <c r="DZ32" s="18">
        <f t="shared" si="10"/>
        <v>-3.9914039097516979E-2</v>
      </c>
      <c r="EA32" s="18">
        <f t="shared" si="11"/>
        <v>0.19318571295858014</v>
      </c>
      <c r="EB32" s="18">
        <f t="shared" si="12"/>
        <v>9.1481160470615219E-2</v>
      </c>
      <c r="EC32" s="18">
        <f t="shared" si="13"/>
        <v>0.61312204665584946</v>
      </c>
      <c r="ED32" s="18">
        <f t="shared" si="14"/>
        <v>0.12330960800129373</v>
      </c>
      <c r="EE32" s="18">
        <f t="shared" si="15"/>
        <v>3.57753514501419E-2</v>
      </c>
      <c r="EF32" s="18">
        <f t="shared" si="16"/>
        <v>2.7794571094839914E-2</v>
      </c>
      <c r="EG32" s="18">
        <f t="shared" si="17"/>
        <v>0.12695404572070065</v>
      </c>
      <c r="EH32" s="18">
        <f t="shared" si="18"/>
        <v>2.7924112085547379E-2</v>
      </c>
      <c r="EI32" s="18">
        <f t="shared" si="19"/>
        <v>4.3599596414381506E-2</v>
      </c>
      <c r="EJ32" s="18">
        <f t="shared" si="20"/>
        <v>1.7038564688124556E-2</v>
      </c>
      <c r="EK32" s="18">
        <f t="shared" si="21"/>
        <v>-1.3874171100210844E-2</v>
      </c>
      <c r="EL32" s="18">
        <f t="shared" si="22"/>
        <v>-8.0564939199516839E-3</v>
      </c>
      <c r="EM32" s="6">
        <v>14.252473178208167</v>
      </c>
      <c r="EN32" s="6">
        <v>14.841723487596113</v>
      </c>
      <c r="EO32" s="6">
        <v>16.431022192610317</v>
      </c>
      <c r="EP32" s="6">
        <v>14.603176874642243</v>
      </c>
      <c r="EQ32" s="14">
        <v>86832.3</v>
      </c>
      <c r="ER32" s="14"/>
      <c r="ES32" s="15">
        <v>132122</v>
      </c>
      <c r="ET32" s="15">
        <v>57115</v>
      </c>
      <c r="EU32" s="15">
        <v>0.3</v>
      </c>
      <c r="EX32" s="16"/>
      <c r="EY32" s="16"/>
      <c r="FA32" s="17"/>
      <c r="FB32" s="17"/>
      <c r="FC32" s="17"/>
      <c r="GJ32" s="6">
        <v>0.34258199432721925</v>
      </c>
    </row>
    <row r="33" spans="1:192" ht="15">
      <c r="A33" s="12">
        <v>1941</v>
      </c>
      <c r="B33" s="13"/>
      <c r="C33" s="15">
        <f t="shared" si="0"/>
        <v>378113.9842233134</v>
      </c>
      <c r="D33" s="15">
        <v>75138.59940039349</v>
      </c>
      <c r="E33" s="15">
        <v>4101.4278005490287</v>
      </c>
      <c r="F33" s="15">
        <v>72560.023994973162</v>
      </c>
      <c r="G33" s="15">
        <v>0</v>
      </c>
      <c r="H33" s="15">
        <v>3578.7793617854913</v>
      </c>
      <c r="I33" s="15">
        <v>72387.898989584559</v>
      </c>
      <c r="L33" s="15">
        <v>0</v>
      </c>
      <c r="M33" s="15">
        <v>39432.267816126296</v>
      </c>
      <c r="N33" s="15">
        <v>-15389.8391364565</v>
      </c>
      <c r="O33" s="15">
        <v>-8127.4970743747663</v>
      </c>
      <c r="P33" s="15">
        <v>74350.381495329028</v>
      </c>
      <c r="Q33" s="15">
        <v>0</v>
      </c>
      <c r="R33" s="15">
        <v>37186.078888812648</v>
      </c>
      <c r="S33" s="15">
        <v>2.2364923207200342E-2</v>
      </c>
      <c r="T33" s="15">
        <v>-11582.105673118409</v>
      </c>
      <c r="U33" s="15">
        <v>26350.471285334628</v>
      </c>
      <c r="V33" s="15">
        <v>68</v>
      </c>
      <c r="W33" s="15">
        <v>220.43478260869563</v>
      </c>
      <c r="X33" s="15">
        <v>58.782608695652165</v>
      </c>
      <c r="Y33" s="15">
        <v>35.891304347826072</v>
      </c>
      <c r="Z33" s="15">
        <v>35.891304347826072</v>
      </c>
      <c r="AA33" s="15">
        <v>119163</v>
      </c>
      <c r="AB33" s="15">
        <v>7610</v>
      </c>
      <c r="AC33" s="15">
        <v>4738</v>
      </c>
      <c r="AD33" s="15">
        <v>1713.4732188090072</v>
      </c>
      <c r="AE33" s="15">
        <v>-118.29580435683688</v>
      </c>
      <c r="AF33" s="15">
        <v>1927.0000000000002</v>
      </c>
      <c r="AG33" s="15">
        <v>2522</v>
      </c>
      <c r="AH33" s="15">
        <v>34208.177414452155</v>
      </c>
      <c r="AI33" s="15">
        <v>6169</v>
      </c>
      <c r="AJ33" s="15">
        <v>3509.1459217350316</v>
      </c>
      <c r="AK33" s="15">
        <v>2659.8540782649693</v>
      </c>
      <c r="AL33" s="15">
        <f t="shared" si="1"/>
        <v>17196.453887317013</v>
      </c>
      <c r="AM33" s="15">
        <v>17196.453887317013</v>
      </c>
      <c r="AN33" s="15">
        <v>0</v>
      </c>
      <c r="AO33" s="15">
        <v>4380.0991384313711</v>
      </c>
      <c r="AP33" s="15">
        <v>5208.2033898305071</v>
      </c>
      <c r="AQ33" s="15"/>
      <c r="AR33" s="15"/>
      <c r="AS33" s="15">
        <v>1684.2380288655427</v>
      </c>
      <c r="AT33" s="15">
        <v>190.33716729691542</v>
      </c>
      <c r="AU33" s="15">
        <f t="shared" si="2"/>
        <v>1493.9008615686273</v>
      </c>
      <c r="AV33" s="15">
        <v>-1308</v>
      </c>
      <c r="AW33" s="15">
        <v>-716.99444444444441</v>
      </c>
      <c r="AX33" s="15">
        <v>84954.822585547838</v>
      </c>
      <c r="AY33" s="15">
        <v>66187</v>
      </c>
      <c r="AZ33" s="15">
        <v>14213.999999999998</v>
      </c>
      <c r="BA33" s="15"/>
      <c r="BB33" s="15"/>
      <c r="BC33" s="15">
        <v>4891.5267811909916</v>
      </c>
      <c r="BD33" s="15">
        <v>-337.70419564316319</v>
      </c>
      <c r="BE33" s="15">
        <f t="shared" si="3"/>
        <v>6604.9999999999991</v>
      </c>
      <c r="BF33" s="15">
        <v>62100</v>
      </c>
      <c r="BG33" s="15">
        <v>4086.9999999999964</v>
      </c>
      <c r="BH33" s="15">
        <v>836</v>
      </c>
      <c r="BI33" s="15">
        <v>0</v>
      </c>
      <c r="BJ33" s="15">
        <v>0</v>
      </c>
      <c r="BK33" s="15">
        <v>750.4227222427146</v>
      </c>
      <c r="BL33" s="15">
        <v>0</v>
      </c>
      <c r="BM33" s="15">
        <v>0</v>
      </c>
      <c r="BN33" s="15">
        <v>0</v>
      </c>
      <c r="BO33" s="15">
        <v>115816.9194863374</v>
      </c>
      <c r="BP33" s="15">
        <v>3593.5592075237137</v>
      </c>
      <c r="BQ33" s="15">
        <v>322.52130613888551</v>
      </c>
      <c r="BR33" s="15">
        <v>212</v>
      </c>
      <c r="BS33" s="15">
        <v>358</v>
      </c>
      <c r="BT33" s="15">
        <v>212</v>
      </c>
      <c r="BU33" s="15">
        <v>358</v>
      </c>
      <c r="BV33" s="15">
        <v>0</v>
      </c>
      <c r="BW33" s="15">
        <v>0</v>
      </c>
      <c r="BX33" s="15">
        <v>0</v>
      </c>
      <c r="BY33" s="15">
        <v>516</v>
      </c>
      <c r="BZ33" s="15">
        <v>1138</v>
      </c>
      <c r="CA33" s="15">
        <v>718</v>
      </c>
      <c r="CB33" s="15">
        <v>420.00000000000006</v>
      </c>
      <c r="CC33" s="15">
        <v>0</v>
      </c>
      <c r="CD33" s="15">
        <v>0</v>
      </c>
      <c r="CE33" s="15">
        <v>0</v>
      </c>
      <c r="CF33" s="15">
        <v>32</v>
      </c>
      <c r="CG33" s="15">
        <v>32</v>
      </c>
      <c r="CH33" s="15">
        <v>17040</v>
      </c>
      <c r="CI33" s="15"/>
      <c r="CJ33" s="15">
        <v>0</v>
      </c>
      <c r="CK33" s="15">
        <v>1818.9999999999998</v>
      </c>
      <c r="CL33" s="15">
        <v>23820</v>
      </c>
      <c r="CM33" s="15">
        <v>18726</v>
      </c>
      <c r="CN33" s="15">
        <v>4018.0000000000014</v>
      </c>
      <c r="CO33" s="15">
        <v>1016.4227222427145</v>
      </c>
      <c r="CP33" s="15">
        <v>2007.1364852809995</v>
      </c>
      <c r="CQ33" s="15">
        <v>1716</v>
      </c>
      <c r="CR33" s="15">
        <v>2007.1364852809995</v>
      </c>
      <c r="CS33" s="15">
        <v>1906.7796610169494</v>
      </c>
      <c r="CT33" s="15">
        <v>100.35682426405006</v>
      </c>
      <c r="CU33" s="15">
        <v>152.69999999999999</v>
      </c>
      <c r="CV33" s="15">
        <v>5432.0979214403187</v>
      </c>
      <c r="CW33" s="15">
        <v>1601</v>
      </c>
      <c r="CX33" s="15">
        <v>709</v>
      </c>
      <c r="CY33" s="15">
        <v>0</v>
      </c>
      <c r="CZ33" s="15">
        <v>512</v>
      </c>
      <c r="DA33" s="19">
        <v>0</v>
      </c>
      <c r="DB33" s="19">
        <v>0</v>
      </c>
      <c r="DC33" s="19">
        <v>4.0778521233847398E-3</v>
      </c>
      <c r="DD33" s="19">
        <v>2.5449056466983144E-2</v>
      </c>
      <c r="DE33" s="19">
        <v>0.20519202571275497</v>
      </c>
      <c r="DF33" s="19">
        <v>0.33782954391194053</v>
      </c>
      <c r="DG33" s="19">
        <v>0.42745152178493684</v>
      </c>
      <c r="DH33" s="15">
        <v>747.5772777572854</v>
      </c>
      <c r="DI33" s="15">
        <v>112765.34220858011</v>
      </c>
      <c r="DJ33" s="15">
        <v>95725.342208580099</v>
      </c>
      <c r="DK33" s="15">
        <v>117344</v>
      </c>
      <c r="DL33" s="18">
        <v>0.22503494000545404</v>
      </c>
      <c r="DM33" s="15">
        <v>74880</v>
      </c>
      <c r="DN33" s="15">
        <v>56899.998109228814</v>
      </c>
      <c r="DO33" s="15">
        <v>10162.781330196414</v>
      </c>
      <c r="DP33" s="15">
        <v>1123.2808115691778</v>
      </c>
      <c r="DQ33" s="15">
        <v>4159.486910671887</v>
      </c>
      <c r="DR33" s="15">
        <v>2534.4528383336933</v>
      </c>
      <c r="DS33" s="15">
        <v>75833.651102493997</v>
      </c>
      <c r="DT33" s="18">
        <f t="shared" si="4"/>
        <v>0.19871944052726909</v>
      </c>
      <c r="DU33" s="18">
        <f t="shared" si="5"/>
        <v>0.21221175228980149</v>
      </c>
      <c r="DV33" s="18">
        <f t="shared" si="6"/>
        <v>6.9689227018305919E-2</v>
      </c>
      <c r="DW33" s="18">
        <f t="shared" si="7"/>
        <v>-3.0631254479807971E-2</v>
      </c>
      <c r="DX33" s="18">
        <f t="shared" si="8"/>
        <v>0.1042867216274066</v>
      </c>
      <c r="DY33" s="18">
        <f t="shared" si="9"/>
        <v>0.19663483657726299</v>
      </c>
      <c r="DZ33" s="18">
        <f t="shared" si="10"/>
        <v>-4.0701586766405576E-2</v>
      </c>
      <c r="EA33" s="18">
        <f t="shared" si="11"/>
        <v>0.19144464899460689</v>
      </c>
      <c r="EB33" s="18">
        <f t="shared" si="12"/>
        <v>9.8346214211560659E-2</v>
      </c>
      <c r="EC33" s="18">
        <f t="shared" si="13"/>
        <v>0.59835832600564998</v>
      </c>
      <c r="ED33" s="18">
        <f t="shared" si="14"/>
        <v>0.12850054007349337</v>
      </c>
      <c r="EE33" s="18">
        <f t="shared" si="15"/>
        <v>2.9904775035238543E-2</v>
      </c>
      <c r="EF33" s="18">
        <f t="shared" si="16"/>
        <v>2.2667150244281509E-2</v>
      </c>
      <c r="EG33" s="18">
        <f t="shared" si="17"/>
        <v>0.14654736405199253</v>
      </c>
      <c r="EH33" s="18">
        <f t="shared" si="18"/>
        <v>2.182556533296437E-2</v>
      </c>
      <c r="EI33" s="18">
        <f t="shared" si="19"/>
        <v>4.4384062157677491E-2</v>
      </c>
      <c r="EJ33" s="18">
        <f t="shared" si="20"/>
        <v>1.4352996564507283E-2</v>
      </c>
      <c r="EK33" s="18">
        <f t="shared" si="21"/>
        <v>-1.114671393509681E-2</v>
      </c>
      <c r="EL33" s="18">
        <f t="shared" si="22"/>
        <v>-6.1101926340029694E-3</v>
      </c>
      <c r="EM33" s="6">
        <v>13.37473849372385</v>
      </c>
      <c r="EN33" s="6">
        <v>13.943573667711599</v>
      </c>
      <c r="EO33" s="6">
        <v>15.648592564390778</v>
      </c>
      <c r="EP33" s="6">
        <v>13.747406708877811</v>
      </c>
      <c r="EQ33" s="14">
        <v>88173.4</v>
      </c>
      <c r="ER33" s="14"/>
      <c r="ES33" s="15">
        <v>133402</v>
      </c>
      <c r="ET33" s="15">
        <v>57392.484407425414</v>
      </c>
      <c r="EU33" s="15">
        <v>0.3</v>
      </c>
      <c r="EX33" s="16"/>
      <c r="EY33" s="16"/>
      <c r="FA33" s="17"/>
      <c r="FB33" s="17"/>
      <c r="FC33" s="17"/>
      <c r="GJ33" s="6">
        <v>0.25484863688082032</v>
      </c>
    </row>
    <row r="34" spans="1:192" ht="15">
      <c r="A34" s="12">
        <v>1942</v>
      </c>
      <c r="B34" s="13"/>
      <c r="C34" s="15">
        <f t="shared" si="0"/>
        <v>398762.7713467438</v>
      </c>
      <c r="D34" s="15">
        <v>72185.035643590963</v>
      </c>
      <c r="E34" s="15">
        <v>4485.5835725012803</v>
      </c>
      <c r="F34" s="15">
        <v>80659.258350839693</v>
      </c>
      <c r="G34" s="15">
        <v>0</v>
      </c>
      <c r="H34" s="15">
        <v>3978.2468807191563</v>
      </c>
      <c r="I34" s="15">
        <v>80071.514570103434</v>
      </c>
      <c r="L34" s="15">
        <v>0</v>
      </c>
      <c r="M34" s="15">
        <v>38971.806760398067</v>
      </c>
      <c r="N34" s="15">
        <v>-15914.495060871021</v>
      </c>
      <c r="O34" s="15">
        <v>-8417.287238533052</v>
      </c>
      <c r="P34" s="15">
        <v>73972.655400303702</v>
      </c>
      <c r="Q34" s="15">
        <v>0</v>
      </c>
      <c r="R34" s="15">
        <v>40304.445522950271</v>
      </c>
      <c r="S34" s="15">
        <v>2.214031051995434E-2</v>
      </c>
      <c r="T34" s="15">
        <v>-11251.393779286351</v>
      </c>
      <c r="U34" s="15">
        <v>31300.113485494574</v>
      </c>
      <c r="V34" s="15">
        <v>38.25</v>
      </c>
      <c r="W34" s="15">
        <v>179.53267045454544</v>
      </c>
      <c r="X34" s="15">
        <v>49.97301136363636</v>
      </c>
      <c r="Y34" s="15">
        <v>48.122159090909079</v>
      </c>
      <c r="Z34" s="15">
        <v>48.122159090909079</v>
      </c>
      <c r="AA34" s="15">
        <v>154499.99999999997</v>
      </c>
      <c r="AB34" s="15">
        <v>11415</v>
      </c>
      <c r="AC34" s="15">
        <v>6512.7500000000009</v>
      </c>
      <c r="AD34" s="15">
        <v>1781.5636149204213</v>
      </c>
      <c r="AE34" s="15">
        <v>-130.20563313543488</v>
      </c>
      <c r="AF34" s="15">
        <v>1987.9999999999998</v>
      </c>
      <c r="AG34" s="15">
        <v>2409.0000000000005</v>
      </c>
      <c r="AH34" s="15">
        <v>41982.10798178496</v>
      </c>
      <c r="AI34" s="15">
        <v>6827.9999999999991</v>
      </c>
      <c r="AJ34" s="15">
        <v>3910.5818181818186</v>
      </c>
      <c r="AK34" s="15">
        <v>2917.418181818181</v>
      </c>
      <c r="AL34" s="15">
        <f t="shared" si="1"/>
        <v>22399.827749004009</v>
      </c>
      <c r="AM34" s="15">
        <v>22399.827749004009</v>
      </c>
      <c r="AN34" s="15">
        <v>0</v>
      </c>
      <c r="AO34" s="15">
        <v>4420.3186060557273</v>
      </c>
      <c r="AP34" s="15">
        <v>6962.5367109634553</v>
      </c>
      <c r="AQ34" s="15"/>
      <c r="AR34" s="15"/>
      <c r="AS34" s="15">
        <v>1723.5885389150699</v>
      </c>
      <c r="AT34" s="15">
        <v>276.90714497079682</v>
      </c>
      <c r="AU34" s="15">
        <f t="shared" si="2"/>
        <v>1446.6813939442732</v>
      </c>
      <c r="AV34" s="15">
        <v>-1307</v>
      </c>
      <c r="AW34" s="15">
        <v>-696.52160493827148</v>
      </c>
      <c r="AX34" s="15">
        <v>112517.892018215</v>
      </c>
      <c r="AY34" s="15">
        <v>88036</v>
      </c>
      <c r="AZ34" s="15">
        <v>19538.25</v>
      </c>
      <c r="BA34" s="15"/>
      <c r="BB34" s="15"/>
      <c r="BC34" s="15">
        <v>5333.436385079578</v>
      </c>
      <c r="BD34" s="15">
        <v>-389.79436686456506</v>
      </c>
      <c r="BE34" s="15">
        <f t="shared" si="3"/>
        <v>7114.9999999999991</v>
      </c>
      <c r="BF34" s="15">
        <v>82100</v>
      </c>
      <c r="BG34" s="15">
        <v>5936.0000000000073</v>
      </c>
      <c r="BH34" s="15">
        <v>1061</v>
      </c>
      <c r="BI34" s="15">
        <v>0</v>
      </c>
      <c r="BJ34" s="15">
        <v>0</v>
      </c>
      <c r="BK34" s="15">
        <v>992.10475839173682</v>
      </c>
      <c r="BL34" s="15">
        <v>0</v>
      </c>
      <c r="BM34" s="15">
        <v>0</v>
      </c>
      <c r="BN34" s="15">
        <v>0</v>
      </c>
      <c r="BO34" s="15">
        <v>149499.92594593859</v>
      </c>
      <c r="BP34" s="15">
        <v>5264.5231348413354</v>
      </c>
      <c r="BQ34" s="15">
        <v>344.55091922003425</v>
      </c>
      <c r="BR34" s="15">
        <v>259</v>
      </c>
      <c r="BS34" s="15">
        <v>350</v>
      </c>
      <c r="BT34" s="15">
        <v>259</v>
      </c>
      <c r="BU34" s="15">
        <v>350</v>
      </c>
      <c r="BV34" s="15">
        <v>0</v>
      </c>
      <c r="BW34" s="15">
        <v>0</v>
      </c>
      <c r="BX34" s="15">
        <v>0</v>
      </c>
      <c r="BY34" s="15">
        <v>506</v>
      </c>
      <c r="BZ34" s="15">
        <v>1077</v>
      </c>
      <c r="CA34" s="15">
        <v>778</v>
      </c>
      <c r="CB34" s="15">
        <v>299</v>
      </c>
      <c r="CC34" s="15">
        <v>0</v>
      </c>
      <c r="CD34" s="15">
        <v>0</v>
      </c>
      <c r="CE34" s="15">
        <v>0</v>
      </c>
      <c r="CF34" s="15">
        <v>78</v>
      </c>
      <c r="CG34" s="15">
        <v>78</v>
      </c>
      <c r="CH34" s="15">
        <v>36455</v>
      </c>
      <c r="CI34" s="15"/>
      <c r="CJ34" s="15">
        <v>0</v>
      </c>
      <c r="CK34" s="15">
        <v>2139</v>
      </c>
      <c r="CL34" s="15">
        <v>31282.999999999996</v>
      </c>
      <c r="CM34" s="15">
        <v>38116</v>
      </c>
      <c r="CN34" s="15">
        <v>-8013.9999999999991</v>
      </c>
      <c r="CO34" s="15">
        <v>1444.1047583917368</v>
      </c>
      <c r="CP34" s="15">
        <v>3211.4183764495988</v>
      </c>
      <c r="CQ34" s="15">
        <v>2008</v>
      </c>
      <c r="CR34" s="15">
        <v>3211.4183764495988</v>
      </c>
      <c r="CS34" s="15">
        <v>3050.8474576271187</v>
      </c>
      <c r="CT34" s="15">
        <v>160.57091882248008</v>
      </c>
      <c r="CU34" s="15">
        <v>203.6</v>
      </c>
      <c r="CV34" s="15">
        <v>7464.6118759405945</v>
      </c>
      <c r="CW34" s="15">
        <v>4164</v>
      </c>
      <c r="CX34" s="15">
        <v>724</v>
      </c>
      <c r="CY34" s="15">
        <v>0</v>
      </c>
      <c r="CZ34" s="15">
        <v>576</v>
      </c>
      <c r="DA34" s="19">
        <v>0</v>
      </c>
      <c r="DB34" s="19">
        <v>0</v>
      </c>
      <c r="DC34" s="19">
        <v>4.2349026997750006E-3</v>
      </c>
      <c r="DD34" s="19">
        <v>2.9933052861658926E-2</v>
      </c>
      <c r="DE34" s="19">
        <v>0.2209033211146747</v>
      </c>
      <c r="DF34" s="19">
        <v>0.33162135613147875</v>
      </c>
      <c r="DG34" s="19">
        <v>0.41330736719241262</v>
      </c>
      <c r="DH34" s="15">
        <v>838.89524160826318</v>
      </c>
      <c r="DI34" s="15">
        <v>158906.03070433036</v>
      </c>
      <c r="DJ34" s="15">
        <v>122451.03070433035</v>
      </c>
      <c r="DK34" s="15">
        <v>152360.99999999997</v>
      </c>
      <c r="DL34" s="18">
        <v>0.26539928196848278</v>
      </c>
      <c r="DM34" s="15">
        <v>96880</v>
      </c>
      <c r="DN34" s="15">
        <v>75151.834617585904</v>
      </c>
      <c r="DO34" s="15">
        <v>14353.285470544517</v>
      </c>
      <c r="DP34" s="15">
        <v>1055.1775599921016</v>
      </c>
      <c r="DQ34" s="15">
        <v>3565.9708379667641</v>
      </c>
      <c r="DR34" s="15">
        <v>2753.7315139106854</v>
      </c>
      <c r="DS34" s="15">
        <v>97611.172347961474</v>
      </c>
      <c r="DT34" s="18">
        <f t="shared" si="4"/>
        <v>0.18102250468317296</v>
      </c>
      <c r="DU34" s="18">
        <f t="shared" si="5"/>
        <v>0.22349902049046411</v>
      </c>
      <c r="DV34" s="18">
        <f t="shared" si="6"/>
        <v>7.8493068396993326E-2</v>
      </c>
      <c r="DW34" s="18">
        <f t="shared" si="7"/>
        <v>-2.8215757808300292E-2</v>
      </c>
      <c r="DX34" s="18">
        <f t="shared" si="8"/>
        <v>9.7731808385166846E-2</v>
      </c>
      <c r="DY34" s="18">
        <f t="shared" si="9"/>
        <v>0.18550542005331999</v>
      </c>
      <c r="DZ34" s="18">
        <f t="shared" si="10"/>
        <v>-3.9909681154845285E-2</v>
      </c>
      <c r="EA34" s="18">
        <f t="shared" si="11"/>
        <v>0.2007998748220087</v>
      </c>
      <c r="EB34" s="18">
        <f t="shared" si="12"/>
        <v>0.10107374213201958</v>
      </c>
      <c r="EC34" s="18">
        <f t="shared" si="13"/>
        <v>0.60645931171227685</v>
      </c>
      <c r="ED34" s="18">
        <f t="shared" si="14"/>
        <v>0.13459441191174509</v>
      </c>
      <c r="EE34" s="18">
        <f t="shared" si="15"/>
        <v>2.5666553896218976E-2</v>
      </c>
      <c r="EF34" s="18">
        <f t="shared" si="16"/>
        <v>1.9148064017814149E-2</v>
      </c>
      <c r="EG34" s="18">
        <f t="shared" si="17"/>
        <v>0.14701811978789855</v>
      </c>
      <c r="EH34" s="18">
        <f t="shared" si="18"/>
        <v>1.4973113894341254E-2</v>
      </c>
      <c r="EI34" s="18">
        <f t="shared" si="19"/>
        <v>4.5697630699217361E-2</v>
      </c>
      <c r="EJ34" s="18">
        <f t="shared" si="20"/>
        <v>1.1312531021160732E-2</v>
      </c>
      <c r="EK34" s="18">
        <f t="shared" si="21"/>
        <v>-8.5783107225602361E-3</v>
      </c>
      <c r="EL34" s="18">
        <f t="shared" si="22"/>
        <v>-4.5715216160190052E-3</v>
      </c>
      <c r="EM34" s="6">
        <v>12.346409173204588</v>
      </c>
      <c r="EN34" s="6">
        <v>12.900882723833544</v>
      </c>
      <c r="EO34" s="6">
        <v>14.141453526426917</v>
      </c>
      <c r="EP34" s="6">
        <v>12.225590032346952</v>
      </c>
      <c r="EQ34" s="14">
        <v>89560.3</v>
      </c>
      <c r="ER34" s="14"/>
      <c r="ES34" s="15">
        <v>134860</v>
      </c>
      <c r="ET34" s="15">
        <v>57736.224318594097</v>
      </c>
      <c r="EU34" s="15">
        <v>0.3</v>
      </c>
      <c r="EX34" s="16"/>
      <c r="EY34" s="16"/>
      <c r="FA34" s="17"/>
      <c r="FB34" s="17"/>
      <c r="FC34" s="17"/>
      <c r="GJ34" s="6">
        <v>0.18759314424627707</v>
      </c>
    </row>
    <row r="35" spans="1:192" ht="15">
      <c r="A35" s="12">
        <v>1943</v>
      </c>
      <c r="B35" s="13"/>
      <c r="C35" s="15">
        <f t="shared" si="0"/>
        <v>456072.9555217264</v>
      </c>
      <c r="D35" s="15">
        <v>84009.348320385441</v>
      </c>
      <c r="E35" s="15">
        <v>4869.739344453531</v>
      </c>
      <c r="F35" s="15">
        <v>94706.038490487568</v>
      </c>
      <c r="G35" s="15">
        <v>0</v>
      </c>
      <c r="H35" s="15">
        <v>4671.0571100376137</v>
      </c>
      <c r="I35" s="15">
        <v>93931.231153803586</v>
      </c>
      <c r="L35" s="15">
        <v>0</v>
      </c>
      <c r="M35" s="15">
        <v>41903.285700293985</v>
      </c>
      <c r="N35" s="15">
        <v>-16415.402334582897</v>
      </c>
      <c r="O35" s="15">
        <v>-8725.0586398934465</v>
      </c>
      <c r="P35" s="15">
        <v>78626.878480154119</v>
      </c>
      <c r="Q35" s="15">
        <v>0</v>
      </c>
      <c r="R35" s="15">
        <v>43422.812157087908</v>
      </c>
      <c r="S35" s="15">
        <v>2.1947958512047946E-2</v>
      </c>
      <c r="T35" s="15">
        <v>-10920.681885454293</v>
      </c>
      <c r="U35" s="15">
        <v>37268.64898505983</v>
      </c>
      <c r="V35" s="15">
        <v>84.15</v>
      </c>
      <c r="W35" s="15">
        <v>192.07743589743589</v>
      </c>
      <c r="X35" s="15">
        <v>50.133418803418806</v>
      </c>
      <c r="Y35" s="15">
        <v>55.569572649572656</v>
      </c>
      <c r="Z35" s="15">
        <v>55.569572649572656</v>
      </c>
      <c r="AA35" s="15">
        <v>190109.00000000003</v>
      </c>
      <c r="AB35" s="15">
        <v>14074</v>
      </c>
      <c r="AC35" s="15">
        <v>7792.25</v>
      </c>
      <c r="AD35" s="15">
        <v>1878.3259728712399</v>
      </c>
      <c r="AE35" s="15">
        <v>-137.96951520523282</v>
      </c>
      <c r="AF35" s="15">
        <v>2064</v>
      </c>
      <c r="AG35" s="15">
        <v>2430</v>
      </c>
      <c r="AH35" s="15">
        <v>48420.606457666028</v>
      </c>
      <c r="AI35" s="15">
        <v>7226</v>
      </c>
      <c r="AJ35" s="15">
        <v>4350.7183262301442</v>
      </c>
      <c r="AK35" s="15">
        <v>2875.2816737698568</v>
      </c>
      <c r="AL35" s="15">
        <f t="shared" si="1"/>
        <v>26739.280510989865</v>
      </c>
      <c r="AM35" s="15">
        <v>26739.280510989865</v>
      </c>
      <c r="AN35" s="15">
        <v>0</v>
      </c>
      <c r="AO35" s="15">
        <v>4678.8461031321458</v>
      </c>
      <c r="AP35" s="15">
        <v>8262.6751144538921</v>
      </c>
      <c r="AQ35" s="15"/>
      <c r="AR35" s="15"/>
      <c r="AS35" s="15">
        <v>1707.4970368562092</v>
      </c>
      <c r="AT35" s="15">
        <v>303.34313998835609</v>
      </c>
      <c r="AU35" s="15">
        <f t="shared" si="2"/>
        <v>1404.1538968678531</v>
      </c>
      <c r="AV35" s="15">
        <v>-1258</v>
      </c>
      <c r="AW35" s="15">
        <v>-676.04876543209889</v>
      </c>
      <c r="AX35" s="15">
        <v>141688.39354233397</v>
      </c>
      <c r="AY35" s="15">
        <v>112698</v>
      </c>
      <c r="AZ35" s="15">
        <v>23376.75</v>
      </c>
      <c r="BA35" s="15"/>
      <c r="BB35" s="15"/>
      <c r="BC35" s="15">
        <v>6058.6740271287608</v>
      </c>
      <c r="BD35" s="15">
        <v>-445.03048479476718</v>
      </c>
      <c r="BE35" s="15">
        <f t="shared" si="3"/>
        <v>7937.0000000000009</v>
      </c>
      <c r="BF35" s="15">
        <v>105800</v>
      </c>
      <c r="BG35" s="15">
        <v>6897.9999999999964</v>
      </c>
      <c r="BH35" s="15">
        <v>1246</v>
      </c>
      <c r="BI35" s="15">
        <v>0</v>
      </c>
      <c r="BJ35" s="15">
        <v>0</v>
      </c>
      <c r="BK35" s="15">
        <v>1278.4979712283284</v>
      </c>
      <c r="BL35" s="15">
        <v>0</v>
      </c>
      <c r="BM35" s="15">
        <v>0</v>
      </c>
      <c r="BN35" s="15">
        <v>0</v>
      </c>
      <c r="BO35" s="15">
        <v>183839.45469108954</v>
      </c>
      <c r="BP35" s="15">
        <v>6297.9145635566065</v>
      </c>
      <c r="BQ35" s="15">
        <v>353.63074535387585</v>
      </c>
      <c r="BR35" s="15">
        <v>298.00000000000006</v>
      </c>
      <c r="BS35" s="15">
        <v>84.000000000000014</v>
      </c>
      <c r="BT35" s="15">
        <v>301.00000000000006</v>
      </c>
      <c r="BU35" s="15">
        <v>81</v>
      </c>
      <c r="BV35" s="15">
        <v>0</v>
      </c>
      <c r="BW35" s="15">
        <v>0</v>
      </c>
      <c r="BX35" s="15">
        <v>0</v>
      </c>
      <c r="BY35" s="15">
        <v>521</v>
      </c>
      <c r="BZ35" s="15">
        <v>949</v>
      </c>
      <c r="CA35" s="15">
        <v>818</v>
      </c>
      <c r="CB35" s="15">
        <v>131</v>
      </c>
      <c r="CC35" s="15">
        <v>0</v>
      </c>
      <c r="CD35" s="15">
        <v>0</v>
      </c>
      <c r="CE35" s="15">
        <v>0</v>
      </c>
      <c r="CF35" s="15">
        <v>195</v>
      </c>
      <c r="CG35" s="15">
        <v>195</v>
      </c>
      <c r="CH35" s="15">
        <v>58131</v>
      </c>
      <c r="CI35" s="15"/>
      <c r="CJ35" s="15">
        <v>0</v>
      </c>
      <c r="CK35" s="15">
        <v>2899.0000000000005</v>
      </c>
      <c r="CL35" s="15">
        <v>47586</v>
      </c>
      <c r="CM35" s="15">
        <v>59796</v>
      </c>
      <c r="CN35" s="15">
        <v>-13230</v>
      </c>
      <c r="CO35" s="15">
        <v>2142.497971228328</v>
      </c>
      <c r="CP35" s="15">
        <v>3773.4165923282785</v>
      </c>
      <c r="CQ35" s="15">
        <v>2328</v>
      </c>
      <c r="CR35" s="15">
        <v>3773.4165923282785</v>
      </c>
      <c r="CS35" s="15">
        <v>3584.7457627118647</v>
      </c>
      <c r="CT35" s="15">
        <v>188.6708296164141</v>
      </c>
      <c r="CU35" s="15">
        <v>254.5</v>
      </c>
      <c r="CV35" s="15">
        <v>11612.588630130724</v>
      </c>
      <c r="CW35" s="15">
        <v>15987</v>
      </c>
      <c r="CX35" s="15">
        <v>750</v>
      </c>
      <c r="CY35" s="15">
        <v>0</v>
      </c>
      <c r="CZ35" s="15">
        <v>566</v>
      </c>
      <c r="DA35" s="19">
        <v>0</v>
      </c>
      <c r="DB35" s="19">
        <v>0</v>
      </c>
      <c r="DC35" s="19">
        <v>4.3919532761653723E-3</v>
      </c>
      <c r="DD35" s="19">
        <v>3.441704925633482E-2</v>
      </c>
      <c r="DE35" s="19">
        <v>0.23661461651659443</v>
      </c>
      <c r="DF35" s="19">
        <v>0.32541316835101697</v>
      </c>
      <c r="DG35" s="19">
        <v>0.39916321259988841</v>
      </c>
      <c r="DH35" s="15">
        <v>1253.5020287716711</v>
      </c>
      <c r="DI35" s="15">
        <v>199156.95266231784</v>
      </c>
      <c r="DJ35" s="15">
        <v>141025.95266231784</v>
      </c>
      <c r="DK35" s="15">
        <v>187210.00000000003</v>
      </c>
      <c r="DL35" s="18">
        <v>0.24988515570749423</v>
      </c>
      <c r="DM35" s="15">
        <v>119920</v>
      </c>
      <c r="DN35" s="15">
        <v>94672.238222555403</v>
      </c>
      <c r="DO35" s="15">
        <v>18065.795568775404</v>
      </c>
      <c r="DP35" s="15">
        <v>962.74468067276189</v>
      </c>
      <c r="DQ35" s="15">
        <v>3525.9483085778447</v>
      </c>
      <c r="DR35" s="15">
        <v>2693.2732194185824</v>
      </c>
      <c r="DS35" s="15">
        <v>121642.8668382102</v>
      </c>
      <c r="DT35" s="18">
        <f t="shared" si="4"/>
        <v>0.18420155657833873</v>
      </c>
      <c r="DU35" s="18">
        <f t="shared" si="5"/>
        <v>0.22857491040161576</v>
      </c>
      <c r="DV35" s="18">
        <f t="shared" si="6"/>
        <v>8.171641956367752E-2</v>
      </c>
      <c r="DW35" s="18">
        <f t="shared" si="7"/>
        <v>-2.3945032813799574E-2</v>
      </c>
      <c r="DX35" s="18">
        <f t="shared" si="8"/>
        <v>9.1878470742380591E-2</v>
      </c>
      <c r="DY35" s="18">
        <f t="shared" si="9"/>
        <v>0.17239978281590629</v>
      </c>
      <c r="DZ35" s="18">
        <f t="shared" si="10"/>
        <v>-3.5992930814773783E-2</v>
      </c>
      <c r="EA35" s="18">
        <f t="shared" si="11"/>
        <v>0.20595659097205313</v>
      </c>
      <c r="EB35" s="18">
        <f t="shared" si="12"/>
        <v>9.5210232554601301E-2</v>
      </c>
      <c r="EC35" s="18">
        <f t="shared" si="13"/>
        <v>0.62879030792927115</v>
      </c>
      <c r="ED35" s="18">
        <f t="shared" si="14"/>
        <v>0.13042887922488056</v>
      </c>
      <c r="EE35" s="18">
        <f t="shared" si="15"/>
        <v>2.3239775258961291E-2</v>
      </c>
      <c r="EF35" s="18">
        <f t="shared" si="16"/>
        <v>1.5358590212968625E-2</v>
      </c>
      <c r="EG35" s="18">
        <f t="shared" si="17"/>
        <v>0.14283040708824241</v>
      </c>
      <c r="EH35" s="18">
        <f t="shared" si="18"/>
        <v>9.507217045735511E-3</v>
      </c>
      <c r="EI35" s="18">
        <f t="shared" si="19"/>
        <v>4.4135864080198123E-2</v>
      </c>
      <c r="EJ35" s="18">
        <f t="shared" si="20"/>
        <v>9.1207576350419792E-3</v>
      </c>
      <c r="EK35" s="18">
        <f t="shared" si="21"/>
        <v>-6.7197265103359849E-3</v>
      </c>
      <c r="EL35" s="18">
        <f t="shared" si="22"/>
        <v>-3.6111787053688307E-3</v>
      </c>
      <c r="EM35" s="6">
        <v>11.784562211981568</v>
      </c>
      <c r="EN35" s="6">
        <v>12.3050276641809</v>
      </c>
      <c r="EO35" s="6">
        <v>13.322450426440801</v>
      </c>
      <c r="EP35" s="6">
        <v>11.195501919912232</v>
      </c>
      <c r="EQ35" s="14">
        <v>90998.5</v>
      </c>
      <c r="ER35" s="14"/>
      <c r="ES35" s="15">
        <v>136739</v>
      </c>
      <c r="ET35" s="15">
        <v>58249.516076489876</v>
      </c>
      <c r="EU35" s="15">
        <v>0.3</v>
      </c>
      <c r="EX35" s="16"/>
      <c r="EY35" s="16"/>
      <c r="FA35" s="17"/>
      <c r="FB35" s="17"/>
      <c r="FC35" s="17"/>
      <c r="GJ35" s="6">
        <v>0.16440712474431723</v>
      </c>
    </row>
    <row r="36" spans="1:192" ht="15">
      <c r="A36" s="12">
        <v>1944</v>
      </c>
      <c r="B36" s="13"/>
      <c r="C36" s="15">
        <f t="shared" si="0"/>
        <v>534287.7971352794</v>
      </c>
      <c r="D36" s="15">
        <v>99550.13219159194</v>
      </c>
      <c r="E36" s="15">
        <v>5253.8951164057817</v>
      </c>
      <c r="F36" s="15">
        <v>111454.99085293044</v>
      </c>
      <c r="G36" s="15">
        <v>0</v>
      </c>
      <c r="H36" s="15">
        <v>5497.1429041987549</v>
      </c>
      <c r="I36" s="15">
        <v>107665.55656045402</v>
      </c>
      <c r="L36" s="15">
        <v>0</v>
      </c>
      <c r="M36" s="15">
        <v>50203.584071180776</v>
      </c>
      <c r="N36" s="15">
        <v>-16966.138484701216</v>
      </c>
      <c r="O36" s="15">
        <v>-8995.1022201073974</v>
      </c>
      <c r="P36" s="15">
        <v>92227.342737896164</v>
      </c>
      <c r="Q36" s="15">
        <v>0</v>
      </c>
      <c r="R36" s="15">
        <v>46541.178791225539</v>
      </c>
      <c r="S36" s="15">
        <v>2.1781382563065853E-2</v>
      </c>
      <c r="T36" s="15">
        <v>-10589.969991622233</v>
      </c>
      <c r="U36" s="15">
        <v>43450.082385719419</v>
      </c>
      <c r="V36" s="15">
        <v>79.900000000000006</v>
      </c>
      <c r="W36" s="15">
        <v>179.94287009748356</v>
      </c>
      <c r="X36" s="15">
        <v>46.96622081160735</v>
      </c>
      <c r="Y36" s="15">
        <v>52.295454545454554</v>
      </c>
      <c r="Z36" s="15">
        <v>52.295454545454554</v>
      </c>
      <c r="AA36" s="15">
        <v>204507.99999999997</v>
      </c>
      <c r="AB36" s="15">
        <v>12949</v>
      </c>
      <c r="AC36" s="15">
        <v>8091.2500000000009</v>
      </c>
      <c r="AD36" s="15">
        <v>2061.6497487463371</v>
      </c>
      <c r="AE36" s="15">
        <v>-234.65748834954485</v>
      </c>
      <c r="AF36" s="15">
        <v>2136.0000000000005</v>
      </c>
      <c r="AG36" s="15">
        <v>2429.0000000000005</v>
      </c>
      <c r="AH36" s="15">
        <v>49635.242260396779</v>
      </c>
      <c r="AI36" s="15">
        <v>7529.9999999999991</v>
      </c>
      <c r="AJ36" s="15">
        <v>4778.492769744159</v>
      </c>
      <c r="AK36" s="15">
        <v>2751.5072302558401</v>
      </c>
      <c r="AL36" s="15">
        <f t="shared" si="1"/>
        <v>26973.29271434986</v>
      </c>
      <c r="AM36" s="15">
        <v>26973.29271434986</v>
      </c>
      <c r="AN36" s="15">
        <v>0</v>
      </c>
      <c r="AO36" s="15">
        <v>4969.2858224380197</v>
      </c>
      <c r="AP36" s="15">
        <v>8563.8608597285074</v>
      </c>
      <c r="AQ36" s="15"/>
      <c r="AR36" s="15"/>
      <c r="AS36" s="15">
        <v>1640.3865294095265</v>
      </c>
      <c r="AT36" s="15">
        <v>274.67235184754639</v>
      </c>
      <c r="AU36" s="15">
        <f t="shared" si="2"/>
        <v>1365.71417756198</v>
      </c>
      <c r="AV36" s="15">
        <v>-1213</v>
      </c>
      <c r="AW36" s="15">
        <v>-655.57592592592607</v>
      </c>
      <c r="AX36" s="15">
        <v>154872.7577396032</v>
      </c>
      <c r="AY36" s="15">
        <v>124321</v>
      </c>
      <c r="AZ36" s="15">
        <v>24273.75</v>
      </c>
      <c r="BA36" s="15"/>
      <c r="BB36" s="15"/>
      <c r="BC36" s="15">
        <v>7084.3502512536616</v>
      </c>
      <c r="BD36" s="15">
        <v>-806.34251165045509</v>
      </c>
      <c r="BE36" s="15">
        <f t="shared" si="3"/>
        <v>9145.9999999999982</v>
      </c>
      <c r="BF36" s="15">
        <v>116700</v>
      </c>
      <c r="BG36" s="15">
        <v>7620.9999999999955</v>
      </c>
      <c r="BH36" s="15">
        <v>1291</v>
      </c>
      <c r="BI36" s="15">
        <v>0</v>
      </c>
      <c r="BJ36" s="15">
        <v>0</v>
      </c>
      <c r="BK36" s="15">
        <v>1410.2146809295457</v>
      </c>
      <c r="BL36" s="15">
        <v>0</v>
      </c>
      <c r="BM36" s="15">
        <v>0</v>
      </c>
      <c r="BN36" s="15">
        <v>0</v>
      </c>
      <c r="BO36" s="15">
        <v>197880.97935030359</v>
      </c>
      <c r="BP36" s="15">
        <v>6876.0585703140241</v>
      </c>
      <c r="BQ36" s="15">
        <v>349.96207938234562</v>
      </c>
      <c r="BR36" s="15">
        <v>526.99999999999989</v>
      </c>
      <c r="BS36" s="15">
        <v>72.000000000000057</v>
      </c>
      <c r="BT36" s="15">
        <v>351</v>
      </c>
      <c r="BU36" s="15">
        <v>67</v>
      </c>
      <c r="BV36" s="15">
        <v>0</v>
      </c>
      <c r="BW36" s="15">
        <v>0</v>
      </c>
      <c r="BX36" s="15">
        <v>0</v>
      </c>
      <c r="BY36" s="15">
        <v>953</v>
      </c>
      <c r="BZ36" s="15">
        <v>949.00000000000023</v>
      </c>
      <c r="CA36" s="15">
        <v>850</v>
      </c>
      <c r="CB36" s="15">
        <v>98.999999999999986</v>
      </c>
      <c r="CC36" s="15">
        <v>0</v>
      </c>
      <c r="CD36" s="15">
        <v>0</v>
      </c>
      <c r="CE36" s="15">
        <v>0</v>
      </c>
      <c r="CF36" s="15">
        <v>295</v>
      </c>
      <c r="CG36" s="15">
        <v>295</v>
      </c>
      <c r="CH36" s="15">
        <v>70493</v>
      </c>
      <c r="CI36" s="15"/>
      <c r="CJ36" s="15">
        <v>0</v>
      </c>
      <c r="CK36" s="15">
        <v>3612</v>
      </c>
      <c r="CL36" s="15">
        <v>49352.000000000015</v>
      </c>
      <c r="CM36" s="15">
        <v>72690</v>
      </c>
      <c r="CN36" s="15">
        <v>-24855.999999999989</v>
      </c>
      <c r="CO36" s="15">
        <v>2283.2146809295459</v>
      </c>
      <c r="CP36" s="15">
        <v>3993.8438893844782</v>
      </c>
      <c r="CQ36" s="15">
        <v>2537</v>
      </c>
      <c r="CR36" s="15">
        <v>4174.8438893844777</v>
      </c>
      <c r="CS36" s="15">
        <v>3966.101694915254</v>
      </c>
      <c r="CT36" s="15">
        <v>208.7421944692241</v>
      </c>
      <c r="CU36" s="15">
        <v>305.39999999999998</v>
      </c>
      <c r="CV36" s="15">
        <v>24443.68896356066</v>
      </c>
      <c r="CW36" s="15">
        <v>16876</v>
      </c>
      <c r="CX36" s="15">
        <v>787</v>
      </c>
      <c r="CY36" s="15">
        <v>0</v>
      </c>
      <c r="CZ36" s="15">
        <v>682</v>
      </c>
      <c r="DA36" s="19">
        <v>0</v>
      </c>
      <c r="DB36" s="19">
        <v>0</v>
      </c>
      <c r="DC36" s="19">
        <v>4.5490038525558552E-3</v>
      </c>
      <c r="DD36" s="19">
        <v>3.8901045651010713E-2</v>
      </c>
      <c r="DE36" s="19">
        <v>0.25232591191851406</v>
      </c>
      <c r="DF36" s="19">
        <v>0.31920498057055513</v>
      </c>
      <c r="DG36" s="19">
        <v>0.38501905800736425</v>
      </c>
      <c r="DH36" s="15">
        <v>1645.7853190704539</v>
      </c>
      <c r="DI36" s="15">
        <v>224961.19403123311</v>
      </c>
      <c r="DJ36" s="15">
        <v>154468.19403123311</v>
      </c>
      <c r="DK36" s="15">
        <v>200896</v>
      </c>
      <c r="DL36" s="18">
        <v>0.22066143676330041</v>
      </c>
      <c r="DM36" s="15">
        <v>121393.55715684955</v>
      </c>
      <c r="DN36" s="15">
        <v>92838.748369712615</v>
      </c>
      <c r="DO36" s="15">
        <v>21622.388236232451</v>
      </c>
      <c r="DP36" s="15">
        <v>799.0739968570017</v>
      </c>
      <c r="DQ36" s="15">
        <v>3593.7314868115436</v>
      </c>
      <c r="DR36" s="15">
        <v>2539.6150672359377</v>
      </c>
      <c r="DS36" s="15">
        <v>123166.55715684955</v>
      </c>
      <c r="DT36" s="18">
        <f t="shared" si="4"/>
        <v>0.18632305047084252</v>
      </c>
      <c r="DU36" s="18">
        <f t="shared" si="5"/>
        <v>0.22872696986300986</v>
      </c>
      <c r="DV36" s="18">
        <f t="shared" si="6"/>
        <v>8.1323366580124318E-2</v>
      </c>
      <c r="DW36" s="18">
        <f t="shared" si="7"/>
        <v>-1.982072218082289E-2</v>
      </c>
      <c r="DX36" s="18">
        <f t="shared" si="8"/>
        <v>9.3963561100141396E-2</v>
      </c>
      <c r="DY36" s="18">
        <f t="shared" si="9"/>
        <v>0.17261734823890165</v>
      </c>
      <c r="DZ36" s="18">
        <f t="shared" si="10"/>
        <v>-3.175468085864866E-2</v>
      </c>
      <c r="EA36" s="18">
        <f t="shared" si="11"/>
        <v>0.20151228820446662</v>
      </c>
      <c r="EB36" s="18">
        <f t="shared" si="12"/>
        <v>8.7108818581985145E-2</v>
      </c>
      <c r="EC36" s="18">
        <f t="shared" si="13"/>
        <v>0.6483358733484712</v>
      </c>
      <c r="ED36" s="18">
        <f t="shared" si="14"/>
        <v>0.12658796909365636</v>
      </c>
      <c r="EE36" s="18">
        <f t="shared" si="15"/>
        <v>2.3785903003266162E-2</v>
      </c>
      <c r="EF36" s="18">
        <f t="shared" si="16"/>
        <v>1.3696177277077892E-2</v>
      </c>
      <c r="EG36" s="18">
        <f t="shared" si="17"/>
        <v>0.13426495656633214</v>
      </c>
      <c r="EH36" s="18">
        <f t="shared" si="18"/>
        <v>6.7561615086314296E-3</v>
      </c>
      <c r="EI36" s="18">
        <f t="shared" si="19"/>
        <v>4.2628329383006668E-2</v>
      </c>
      <c r="EJ36" s="18">
        <f t="shared" si="20"/>
        <v>8.1653518706670432E-3</v>
      </c>
      <c r="EK36" s="18">
        <f t="shared" si="21"/>
        <v>-6.0379499840713599E-3</v>
      </c>
      <c r="EL36" s="18">
        <f t="shared" si="22"/>
        <v>-3.2632602238268859E-3</v>
      </c>
      <c r="EM36" s="6">
        <v>11.508775877587759</v>
      </c>
      <c r="EN36" s="6">
        <v>12.013151714419916</v>
      </c>
      <c r="EO36" s="6">
        <v>13.094932297716001</v>
      </c>
      <c r="EP36" s="6">
        <v>10.5879850591409</v>
      </c>
      <c r="EQ36" s="14">
        <v>92375.9</v>
      </c>
      <c r="ER36" s="14"/>
      <c r="ES36" s="15">
        <v>138397</v>
      </c>
      <c r="ET36" s="15">
        <v>58656.203693425334</v>
      </c>
      <c r="EU36" s="15">
        <v>0.3</v>
      </c>
      <c r="EX36" s="16"/>
      <c r="EY36" s="16"/>
      <c r="FA36" s="17"/>
      <c r="FB36" s="17"/>
      <c r="FC36" s="17"/>
      <c r="GJ36" s="6">
        <v>0.16944384612881205</v>
      </c>
    </row>
    <row r="37" spans="1:192" ht="15">
      <c r="A37" s="12">
        <v>1945</v>
      </c>
      <c r="B37" s="13"/>
      <c r="C37" s="15">
        <f t="shared" si="0"/>
        <v>629495.09868826147</v>
      </c>
      <c r="D37" s="15">
        <v>124829.176989869</v>
      </c>
      <c r="E37" s="15">
        <v>5638.0508883580333</v>
      </c>
      <c r="F37" s="15">
        <v>126987.49413073037</v>
      </c>
      <c r="G37" s="15">
        <v>93.5</v>
      </c>
      <c r="H37" s="15">
        <v>6263.2314348655436</v>
      </c>
      <c r="I37" s="15">
        <v>124577.16785080769</v>
      </c>
      <c r="L37" s="15">
        <v>0</v>
      </c>
      <c r="M37" s="15">
        <v>60054.115151071826</v>
      </c>
      <c r="N37" s="15">
        <v>-17574.66940516232</v>
      </c>
      <c r="O37" s="15">
        <v>-9221.3866205857503</v>
      </c>
      <c r="P37" s="15">
        <v>109028.18592219234</v>
      </c>
      <c r="Q37" s="15">
        <v>0</v>
      </c>
      <c r="R37" s="15">
        <v>49659.545425363176</v>
      </c>
      <c r="S37" s="15">
        <v>2.1635726857187332E-2</v>
      </c>
      <c r="T37" s="15">
        <v>-10259.258097790173</v>
      </c>
      <c r="U37" s="15">
        <v>50198.558397956069</v>
      </c>
      <c r="V37" s="15">
        <v>169.15</v>
      </c>
      <c r="W37" s="15">
        <v>209.25395089669777</v>
      </c>
      <c r="X37" s="15">
        <v>48.392776652769506</v>
      </c>
      <c r="Y37" s="15">
        <v>57.601636225266354</v>
      </c>
      <c r="Z37" s="15">
        <v>57.601636225266354</v>
      </c>
      <c r="AA37" s="15">
        <v>205583.715540356</v>
      </c>
      <c r="AB37" s="15">
        <v>10689</v>
      </c>
      <c r="AC37" s="15">
        <v>8509.2500000000018</v>
      </c>
      <c r="AD37" s="15">
        <v>2171.0253993959991</v>
      </c>
      <c r="AE37" s="15">
        <v>-237.60193790385759</v>
      </c>
      <c r="AF37" s="15">
        <v>2200.0000000000005</v>
      </c>
      <c r="AG37" s="15">
        <v>2442.0000000000005</v>
      </c>
      <c r="AH37" s="15">
        <v>46376.389001848132</v>
      </c>
      <c r="AI37" s="15">
        <v>7688.0000000000009</v>
      </c>
      <c r="AJ37" s="15">
        <v>5166.4256559766764</v>
      </c>
      <c r="AK37" s="15">
        <v>2521.5743440233241</v>
      </c>
      <c r="AL37" s="15">
        <f t="shared" si="1"/>
        <v>22257.49806793762</v>
      </c>
      <c r="AM37" s="15">
        <v>22257.49806793762</v>
      </c>
      <c r="AN37" s="15">
        <v>0</v>
      </c>
      <c r="AO37" s="15">
        <v>5689.1556203596083</v>
      </c>
      <c r="AP37" s="15">
        <v>8983.7618483412334</v>
      </c>
      <c r="AQ37" s="15"/>
      <c r="AR37" s="15"/>
      <c r="AS37" s="15">
        <v>1652.6530901372826</v>
      </c>
      <c r="AT37" s="15">
        <v>191.57307352769718</v>
      </c>
      <c r="AU37" s="15">
        <f t="shared" si="2"/>
        <v>1461.0800166095853</v>
      </c>
      <c r="AV37" s="15">
        <v>-1193</v>
      </c>
      <c r="AW37" s="15">
        <v>-635.10308641975314</v>
      </c>
      <c r="AX37" s="15">
        <v>159207.32653850788</v>
      </c>
      <c r="AY37" s="15">
        <v>126304</v>
      </c>
      <c r="AZ37" s="15">
        <v>25527.750000000004</v>
      </c>
      <c r="BA37" s="15"/>
      <c r="BB37" s="15"/>
      <c r="BC37" s="15">
        <v>8281.9746006040041</v>
      </c>
      <c r="BD37" s="15">
        <v>-906.39806209614244</v>
      </c>
      <c r="BE37" s="15">
        <f t="shared" si="3"/>
        <v>10453.000000000004</v>
      </c>
      <c r="BF37" s="15">
        <v>117500</v>
      </c>
      <c r="BG37" s="15">
        <v>8804.0000000000018</v>
      </c>
      <c r="BH37" s="15">
        <v>1254</v>
      </c>
      <c r="BI37" s="15">
        <v>0</v>
      </c>
      <c r="BJ37" s="15">
        <v>0</v>
      </c>
      <c r="BK37" s="15">
        <v>1419.8819623755066</v>
      </c>
      <c r="BL37" s="15">
        <v>0</v>
      </c>
      <c r="BM37" s="15">
        <v>0</v>
      </c>
      <c r="BN37" s="15">
        <v>0</v>
      </c>
      <c r="BO37" s="15">
        <v>199391.82740971426</v>
      </c>
      <c r="BP37" s="15">
        <v>7009.2967705824649</v>
      </c>
      <c r="BQ37" s="15">
        <v>361.59136005927786</v>
      </c>
      <c r="BR37" s="15">
        <v>616.00000000000011</v>
      </c>
      <c r="BS37" s="15">
        <v>563.00000000000011</v>
      </c>
      <c r="BT37" s="15">
        <v>425.00000000000006</v>
      </c>
      <c r="BU37" s="15">
        <v>558</v>
      </c>
      <c r="BV37" s="15">
        <v>0</v>
      </c>
      <c r="BW37" s="15">
        <v>0</v>
      </c>
      <c r="BX37" s="15">
        <v>0</v>
      </c>
      <c r="BY37" s="15">
        <v>2865</v>
      </c>
      <c r="BZ37" s="15">
        <v>1014</v>
      </c>
      <c r="CA37" s="15">
        <v>900</v>
      </c>
      <c r="CB37" s="15">
        <v>113.99999999999999</v>
      </c>
      <c r="CC37" s="15">
        <v>0</v>
      </c>
      <c r="CD37" s="15">
        <v>0</v>
      </c>
      <c r="CE37" s="15">
        <v>0</v>
      </c>
      <c r="CF37" s="15">
        <v>240</v>
      </c>
      <c r="CG37" s="15">
        <v>240</v>
      </c>
      <c r="CH37" s="15">
        <v>71087</v>
      </c>
      <c r="CI37" s="15"/>
      <c r="CJ37" s="15">
        <v>293.28445964399799</v>
      </c>
      <c r="CK37" s="15">
        <v>4544</v>
      </c>
      <c r="CL37" s="15">
        <v>51361.000000000007</v>
      </c>
      <c r="CM37" s="15">
        <v>75206</v>
      </c>
      <c r="CN37" s="15">
        <v>-26012.000000000004</v>
      </c>
      <c r="CO37" s="15">
        <v>1690.8819623755064</v>
      </c>
      <c r="CP37" s="15">
        <v>4139.4148082069587</v>
      </c>
      <c r="CQ37" s="15">
        <v>3463</v>
      </c>
      <c r="CR37" s="15">
        <v>4335.4148082069587</v>
      </c>
      <c r="CS37" s="15">
        <v>4118.6440677966102</v>
      </c>
      <c r="CT37" s="15">
        <v>216.77074041034811</v>
      </c>
      <c r="CU37" s="15">
        <v>356.3</v>
      </c>
      <c r="CV37" s="15">
        <v>25164.551204822405</v>
      </c>
      <c r="CW37" s="15">
        <v>18613</v>
      </c>
      <c r="CX37" s="15">
        <v>829</v>
      </c>
      <c r="CY37" s="15">
        <v>0</v>
      </c>
      <c r="CZ37" s="15">
        <v>795</v>
      </c>
      <c r="DA37" s="19">
        <v>0</v>
      </c>
      <c r="DB37" s="19">
        <v>0</v>
      </c>
      <c r="DC37" s="19">
        <v>4.706054428946338E-3</v>
      </c>
      <c r="DD37" s="19">
        <v>4.3385042045686495E-2</v>
      </c>
      <c r="DE37" s="19">
        <v>0.26803720732043379</v>
      </c>
      <c r="DF37" s="19">
        <v>0.31299679279009335</v>
      </c>
      <c r="DG37" s="19">
        <v>0.37087490341484003</v>
      </c>
      <c r="DH37" s="15">
        <v>2666.1180376244938</v>
      </c>
      <c r="DI37" s="15">
        <v>227054.7093720898</v>
      </c>
      <c r="DJ37" s="15">
        <v>155967.7093720898</v>
      </c>
      <c r="DK37" s="15">
        <v>201332.99999999997</v>
      </c>
      <c r="DL37" s="18">
        <v>0.1398926157162512</v>
      </c>
      <c r="DM37" s="15">
        <v>122236.44662323545</v>
      </c>
      <c r="DN37" s="15">
        <v>92968.001770291623</v>
      </c>
      <c r="DO37" s="15">
        <v>22333.247618121994</v>
      </c>
      <c r="DP37" s="15">
        <v>799.23697980383804</v>
      </c>
      <c r="DQ37" s="15">
        <v>3594.4644814405301</v>
      </c>
      <c r="DR37" s="15">
        <v>2541.4957735774833</v>
      </c>
      <c r="DS37" s="15">
        <v>126405.44662323545</v>
      </c>
      <c r="DT37" s="18">
        <f t="shared" si="4"/>
        <v>0.19830047485673419</v>
      </c>
      <c r="DU37" s="18">
        <f t="shared" si="5"/>
        <v>0.22078373087187567</v>
      </c>
      <c r="DV37" s="18">
        <f t="shared" si="6"/>
        <v>7.9744160840266365E-2</v>
      </c>
      <c r="DW37" s="18">
        <f t="shared" si="7"/>
        <v>-1.6297598057821831E-2</v>
      </c>
      <c r="DX37" s="18">
        <f t="shared" si="8"/>
        <v>9.5400449147598237E-2</v>
      </c>
      <c r="DY37" s="18">
        <f t="shared" si="9"/>
        <v>0.17319941989919332</v>
      </c>
      <c r="DZ37" s="18">
        <f t="shared" si="10"/>
        <v>-2.7918675525487525E-2</v>
      </c>
      <c r="EA37" s="18">
        <f t="shared" si="11"/>
        <v>0.19790013950926849</v>
      </c>
      <c r="EB37" s="18">
        <f t="shared" si="12"/>
        <v>7.8887898458373185E-2</v>
      </c>
      <c r="EC37" s="18">
        <f t="shared" si="13"/>
        <v>0.66155826940381524</v>
      </c>
      <c r="ED37" s="18">
        <f t="shared" si="14"/>
        <v>0.13370989130806027</v>
      </c>
      <c r="EE37" s="18">
        <f t="shared" si="15"/>
        <v>2.5661097067925662E-2</v>
      </c>
      <c r="EF37" s="18">
        <f t="shared" si="16"/>
        <v>1.2524396616666539E-2</v>
      </c>
      <c r="EG37" s="18">
        <f t="shared" si="17"/>
        <v>0.11055067012331622</v>
      </c>
      <c r="EH37" s="18">
        <f t="shared" si="18"/>
        <v>7.1445817625704995E-3</v>
      </c>
      <c r="EI37" s="18">
        <f t="shared" si="19"/>
        <v>4.4621407560316663E-2</v>
      </c>
      <c r="EJ37" s="18">
        <f t="shared" si="20"/>
        <v>8.2085554287537697E-3</v>
      </c>
      <c r="EK37" s="18">
        <f t="shared" si="21"/>
        <v>-5.9255064991829464E-3</v>
      </c>
      <c r="EL37" s="18">
        <f t="shared" si="22"/>
        <v>-3.1544907512417401E-3</v>
      </c>
      <c r="EM37" s="6">
        <v>11.228320526893524</v>
      </c>
      <c r="EN37" s="6">
        <v>11.679872131521863</v>
      </c>
      <c r="EO37" s="6">
        <v>12.803393916319731</v>
      </c>
      <c r="EP37" s="6">
        <v>10.180267358339984</v>
      </c>
      <c r="EQ37" s="14">
        <v>93696.5</v>
      </c>
      <c r="ER37" s="14"/>
      <c r="ES37" s="15">
        <v>139928</v>
      </c>
      <c r="ET37" s="15">
        <v>58997.355903064556</v>
      </c>
      <c r="EU37" s="15">
        <v>0.4</v>
      </c>
      <c r="EX37" s="16"/>
      <c r="EY37" s="16"/>
      <c r="FA37" s="17"/>
      <c r="FB37" s="17"/>
      <c r="FC37" s="17"/>
      <c r="GJ37" s="6">
        <v>0.19308059010872214</v>
      </c>
    </row>
    <row r="38" spans="1:192" ht="15">
      <c r="A38" s="12">
        <v>1946</v>
      </c>
      <c r="B38" s="13"/>
      <c r="C38" s="15">
        <f t="shared" si="0"/>
        <v>694469.06235016801</v>
      </c>
      <c r="D38" s="15">
        <v>131438.49188497296</v>
      </c>
      <c r="E38" s="15">
        <v>3768.3117323980941</v>
      </c>
      <c r="F38" s="15">
        <v>134879.94392192279</v>
      </c>
      <c r="G38" s="15">
        <v>233.00000000000009</v>
      </c>
      <c r="H38" s="15">
        <v>6652.5000000000391</v>
      </c>
      <c r="I38" s="15">
        <v>143425.5</v>
      </c>
      <c r="L38" s="15">
        <v>0</v>
      </c>
      <c r="M38" s="15">
        <v>72357.5</v>
      </c>
      <c r="N38" s="15">
        <v>-20903</v>
      </c>
      <c r="O38" s="15">
        <v>-9571</v>
      </c>
      <c r="P38" s="15">
        <v>124735.5</v>
      </c>
      <c r="Q38" s="15">
        <v>0</v>
      </c>
      <c r="R38" s="15">
        <v>54103</v>
      </c>
      <c r="S38" s="15">
        <v>2.2669722566216292E-2</v>
      </c>
      <c r="T38" s="15">
        <v>-12157</v>
      </c>
      <c r="U38" s="15">
        <v>55935.314810874079</v>
      </c>
      <c r="V38" s="15">
        <v>216.75</v>
      </c>
      <c r="W38" s="15">
        <v>261.5718249075216</v>
      </c>
      <c r="X38" s="15">
        <v>60.491985203452529</v>
      </c>
      <c r="Y38" s="15">
        <v>66.093094944512941</v>
      </c>
      <c r="Z38" s="15">
        <v>66.093094944512941</v>
      </c>
      <c r="AA38" s="15">
        <v>205139.4363605392</v>
      </c>
      <c r="AB38" s="15">
        <v>9104</v>
      </c>
      <c r="AC38" s="15">
        <v>9726.5</v>
      </c>
      <c r="AD38" s="15">
        <v>2403.5419093046989</v>
      </c>
      <c r="AE38" s="15">
        <v>-272.29188519048716</v>
      </c>
      <c r="AF38" s="15">
        <v>2088</v>
      </c>
      <c r="AG38" s="15">
        <v>2748</v>
      </c>
      <c r="AH38" s="15">
        <v>44969.186384653432</v>
      </c>
      <c r="AI38" s="15">
        <v>7860.0000000000009</v>
      </c>
      <c r="AJ38" s="15">
        <v>5106.5488565488549</v>
      </c>
      <c r="AK38" s="15">
        <v>2753.4511434511446</v>
      </c>
      <c r="AL38" s="15">
        <f t="shared" si="1"/>
        <v>19249.504959255701</v>
      </c>
      <c r="AM38" s="15">
        <v>19249.504959255701</v>
      </c>
      <c r="AN38" s="15">
        <v>0</v>
      </c>
      <c r="AO38" s="15">
        <v>6289.9506530122762</v>
      </c>
      <c r="AP38" s="15">
        <v>10275.029698149952</v>
      </c>
      <c r="AQ38" s="15"/>
      <c r="AR38" s="15"/>
      <c r="AS38" s="15">
        <v>1830.4510501212947</v>
      </c>
      <c r="AT38" s="15">
        <v>179.62407734553702</v>
      </c>
      <c r="AU38" s="15">
        <f t="shared" si="2"/>
        <v>1650.8269727757577</v>
      </c>
      <c r="AV38" s="15">
        <v>-2001</v>
      </c>
      <c r="AW38" s="15">
        <v>-665.99999999999989</v>
      </c>
      <c r="AX38" s="15">
        <v>160170.24997588579</v>
      </c>
      <c r="AY38" s="15">
        <v>122484.99999999999</v>
      </c>
      <c r="AZ38" s="15">
        <v>29179.499999999993</v>
      </c>
      <c r="BA38" s="15"/>
      <c r="BB38" s="15"/>
      <c r="BC38" s="15">
        <v>9592.4580906953051</v>
      </c>
      <c r="BD38" s="15">
        <v>-1086.7081148095128</v>
      </c>
      <c r="BE38" s="15">
        <f t="shared" si="3"/>
        <v>11996.000000000004</v>
      </c>
      <c r="BF38" s="15">
        <v>112005.00000000003</v>
      </c>
      <c r="BG38" s="15">
        <v>10479.999999999976</v>
      </c>
      <c r="BH38" s="15">
        <v>1367</v>
      </c>
      <c r="BI38" s="15">
        <v>0</v>
      </c>
      <c r="BJ38" s="15">
        <v>0</v>
      </c>
      <c r="BK38" s="15">
        <v>1353.479822943563</v>
      </c>
      <c r="BL38" s="15">
        <v>0</v>
      </c>
      <c r="BM38" s="15">
        <v>0</v>
      </c>
      <c r="BN38" s="15">
        <v>0</v>
      </c>
      <c r="BO38" s="15">
        <v>201049.62418707387</v>
      </c>
      <c r="BP38" s="15">
        <v>7136.1800905617611</v>
      </c>
      <c r="BQ38" s="15">
        <v>329.63208290356863</v>
      </c>
      <c r="BR38" s="15">
        <v>771</v>
      </c>
      <c r="BS38" s="15">
        <v>2605.0000000000005</v>
      </c>
      <c r="BT38" s="15">
        <v>544</v>
      </c>
      <c r="BU38" s="15">
        <v>2600</v>
      </c>
      <c r="BV38" s="15">
        <v>0</v>
      </c>
      <c r="BW38" s="15">
        <v>0</v>
      </c>
      <c r="BX38" s="15">
        <v>96</v>
      </c>
      <c r="BY38" s="15">
        <v>5504</v>
      </c>
      <c r="BZ38" s="15">
        <v>1407</v>
      </c>
      <c r="CA38" s="15">
        <v>1057</v>
      </c>
      <c r="CB38" s="15">
        <v>254</v>
      </c>
      <c r="CC38" s="15">
        <v>0</v>
      </c>
      <c r="CD38" s="15">
        <v>0</v>
      </c>
      <c r="CE38" s="15">
        <v>0</v>
      </c>
      <c r="CF38" s="15">
        <v>130</v>
      </c>
      <c r="CG38" s="15">
        <v>130</v>
      </c>
      <c r="CH38" s="15">
        <v>38319</v>
      </c>
      <c r="CI38" s="15"/>
      <c r="CJ38" s="15">
        <v>341.56363946080501</v>
      </c>
      <c r="CK38" s="15">
        <v>4217.0000000000009</v>
      </c>
      <c r="CL38" s="15">
        <v>50642</v>
      </c>
      <c r="CM38" s="15">
        <v>45360</v>
      </c>
      <c r="CN38" s="15">
        <v>843.99999999999943</v>
      </c>
      <c r="CO38" s="15">
        <v>-423.52017705643698</v>
      </c>
      <c r="CP38" s="15">
        <v>4183.7002676181974</v>
      </c>
      <c r="CQ38" s="15">
        <v>5066</v>
      </c>
      <c r="CR38" s="15">
        <v>4415.7002676181983</v>
      </c>
      <c r="CS38" s="15">
        <v>4194.9152542372876</v>
      </c>
      <c r="CT38" s="15">
        <v>220.78501338091007</v>
      </c>
      <c r="CU38" s="15">
        <v>407.2</v>
      </c>
      <c r="CV38" s="15">
        <v>12457.832937610163</v>
      </c>
      <c r="CW38" s="15">
        <v>16351</v>
      </c>
      <c r="CX38" s="15">
        <v>859</v>
      </c>
      <c r="CY38" s="15">
        <v>0</v>
      </c>
      <c r="CZ38" s="15">
        <v>878</v>
      </c>
      <c r="DA38" s="19">
        <v>0</v>
      </c>
      <c r="DB38" s="19">
        <v>0</v>
      </c>
      <c r="DC38" s="19">
        <v>7.526488509646212E-3</v>
      </c>
      <c r="DD38" s="19">
        <v>4.7897754148821359E-2</v>
      </c>
      <c r="DE38" s="19">
        <v>0.26869371393264252</v>
      </c>
      <c r="DF38" s="19">
        <v>0.316823833158977</v>
      </c>
      <c r="DG38" s="19">
        <v>0.35905821024991291</v>
      </c>
      <c r="DH38" s="15">
        <v>3897.5201770564372</v>
      </c>
      <c r="DI38" s="15">
        <v>199847.10401001747</v>
      </c>
      <c r="DJ38" s="15">
        <v>161528.10401001747</v>
      </c>
      <c r="DK38" s="15">
        <v>201264</v>
      </c>
      <c r="DL38" s="18">
        <v>7.0742904841402332E-2</v>
      </c>
      <c r="DM38" s="15">
        <v>134199.22264923877</v>
      </c>
      <c r="DN38" s="15">
        <v>100177.05105377237</v>
      </c>
      <c r="DO38" s="15">
        <v>25890.810072005821</v>
      </c>
      <c r="DP38" s="15">
        <v>1073.0047034279819</v>
      </c>
      <c r="DQ38" s="15">
        <v>4222.4868447121762</v>
      </c>
      <c r="DR38" s="15">
        <v>2835.8699753204401</v>
      </c>
      <c r="DS38" s="15">
        <v>140365.22264923877</v>
      </c>
      <c r="DT38" s="18">
        <f t="shared" si="4"/>
        <v>0.18926471892091071</v>
      </c>
      <c r="DU38" s="18">
        <f t="shared" si="5"/>
        <v>0.20956117924363243</v>
      </c>
      <c r="DV38" s="18">
        <f t="shared" si="6"/>
        <v>8.0543998060305447E-2</v>
      </c>
      <c r="DW38" s="18">
        <f t="shared" si="7"/>
        <v>-1.7505459435239963E-2</v>
      </c>
      <c r="DX38" s="18">
        <f t="shared" si="8"/>
        <v>0.1041911064477565</v>
      </c>
      <c r="DY38" s="18">
        <f t="shared" si="9"/>
        <v>0.17961275276666733</v>
      </c>
      <c r="DZ38" s="18">
        <f t="shared" si="10"/>
        <v>-3.0099252987975732E-2</v>
      </c>
      <c r="EA38" s="18">
        <f t="shared" si="11"/>
        <v>0.20652539871917491</v>
      </c>
      <c r="EB38" s="18">
        <f t="shared" si="12"/>
        <v>7.7905558264768263E-2</v>
      </c>
      <c r="EC38" s="18">
        <f t="shared" si="13"/>
        <v>0.64707009985544317</v>
      </c>
      <c r="ED38" s="18">
        <f t="shared" si="14"/>
        <v>0.15415097341496428</v>
      </c>
      <c r="EE38" s="18">
        <f t="shared" si="15"/>
        <v>2.5372390773058546E-2</v>
      </c>
      <c r="EF38" s="18">
        <f t="shared" si="16"/>
        <v>1.3680793104833177E-2</v>
      </c>
      <c r="EG38" s="18">
        <f t="shared" si="17"/>
        <v>9.5643060652951847E-2</v>
      </c>
      <c r="EH38" s="18">
        <f t="shared" si="18"/>
        <v>1.1996751989789929E-2</v>
      </c>
      <c r="EI38" s="18">
        <f t="shared" si="19"/>
        <v>5.1052496711532877E-2</v>
      </c>
      <c r="EJ38" s="18">
        <f t="shared" si="20"/>
        <v>9.0947762646141125E-3</v>
      </c>
      <c r="EK38" s="18">
        <f t="shared" si="21"/>
        <v>-9.9421655139518249E-3</v>
      </c>
      <c r="EL38" s="18">
        <f t="shared" si="22"/>
        <v>-3.3090865728595273E-3</v>
      </c>
      <c r="EM38" s="6">
        <v>9.9727015696597459</v>
      </c>
      <c r="EN38" s="6">
        <v>10.341049226725968</v>
      </c>
      <c r="EO38" s="6">
        <v>11.796631317771512</v>
      </c>
      <c r="EP38" s="6">
        <v>9.5175340421563135</v>
      </c>
      <c r="EQ38" s="14">
        <v>94933.2</v>
      </c>
      <c r="ER38" s="14"/>
      <c r="ES38" s="15">
        <v>141389</v>
      </c>
      <c r="ET38" s="15">
        <v>59297.344988542332</v>
      </c>
      <c r="EU38" s="15">
        <v>0.4</v>
      </c>
      <c r="EX38" s="16"/>
      <c r="EY38" s="16"/>
      <c r="FA38" s="17"/>
      <c r="FB38" s="17"/>
      <c r="FC38" s="17"/>
      <c r="GJ38" s="6">
        <v>0.27420985905825951</v>
      </c>
    </row>
    <row r="39" spans="1:192" ht="15">
      <c r="A39" s="12">
        <v>1947</v>
      </c>
      <c r="B39" s="13"/>
      <c r="C39" s="15">
        <f t="shared" si="0"/>
        <v>762253.57577225193</v>
      </c>
      <c r="D39" s="15">
        <v>127602.67847574099</v>
      </c>
      <c r="E39" s="15">
        <v>4057.0881584171516</v>
      </c>
      <c r="F39" s="15">
        <v>139899.84104478083</v>
      </c>
      <c r="G39" s="15">
        <v>257</v>
      </c>
      <c r="H39" s="15">
        <v>7323.0000000000537</v>
      </c>
      <c r="I39" s="15">
        <v>166112.00000000003</v>
      </c>
      <c r="L39" s="15">
        <v>0</v>
      </c>
      <c r="M39" s="15">
        <v>84669.5</v>
      </c>
      <c r="N39" s="15">
        <v>-25683.500000000004</v>
      </c>
      <c r="O39" s="15">
        <v>-10131</v>
      </c>
      <c r="P39" s="15">
        <v>155447.5</v>
      </c>
      <c r="Q39" s="15">
        <v>0</v>
      </c>
      <c r="R39" s="15">
        <v>59280.5</v>
      </c>
      <c r="S39" s="15">
        <v>2.4080431170452336E-2</v>
      </c>
      <c r="T39" s="15">
        <v>-15090</v>
      </c>
      <c r="U39" s="15">
        <v>58377.968093312767</v>
      </c>
      <c r="V39" s="15">
        <v>124.94999999999999</v>
      </c>
      <c r="W39" s="15">
        <v>279.21652542372874</v>
      </c>
      <c r="X39" s="15">
        <v>53.371368038740925</v>
      </c>
      <c r="Y39" s="15">
        <v>65.731053268765137</v>
      </c>
      <c r="Z39" s="15">
        <v>65.731053268765137</v>
      </c>
      <c r="AA39" s="15">
        <v>222645.45483707936</v>
      </c>
      <c r="AB39" s="15">
        <v>11193</v>
      </c>
      <c r="AC39" s="15">
        <v>9517.75</v>
      </c>
      <c r="AD39" s="15">
        <v>2741.012345291886</v>
      </c>
      <c r="AE39" s="15">
        <v>-85.495526130577645</v>
      </c>
      <c r="AF39" s="15">
        <v>2209</v>
      </c>
      <c r="AG39" s="15">
        <v>3137</v>
      </c>
      <c r="AH39" s="15">
        <v>52024.72165624069</v>
      </c>
      <c r="AI39" s="15">
        <v>8013.9999999999991</v>
      </c>
      <c r="AJ39" s="15">
        <v>5190.8079242032718</v>
      </c>
      <c r="AK39" s="15">
        <v>2823.1920757967282</v>
      </c>
      <c r="AL39" s="15">
        <f t="shared" si="1"/>
        <v>25110.034209755951</v>
      </c>
      <c r="AM39" s="15">
        <v>25110.034209755951</v>
      </c>
      <c r="AN39" s="15">
        <v>0</v>
      </c>
      <c r="AO39" s="15">
        <v>7085.3524862784971</v>
      </c>
      <c r="AP39" s="15">
        <v>10161.171970004054</v>
      </c>
      <c r="AQ39" s="15"/>
      <c r="AR39" s="15"/>
      <c r="AS39" s="15">
        <v>2233.6461710408835</v>
      </c>
      <c r="AT39" s="15">
        <v>280.90769145759862</v>
      </c>
      <c r="AU39" s="15">
        <f t="shared" si="2"/>
        <v>1952.738479583285</v>
      </c>
      <c r="AV39" s="15">
        <v>-2299</v>
      </c>
      <c r="AW39" s="15">
        <v>-935.99999999999989</v>
      </c>
      <c r="AX39" s="15">
        <v>170620.7331808387</v>
      </c>
      <c r="AY39" s="15">
        <v>132361</v>
      </c>
      <c r="AZ39" s="15">
        <v>28553.25</v>
      </c>
      <c r="BA39" s="15"/>
      <c r="BB39" s="15"/>
      <c r="BC39" s="15">
        <v>10018.987654708117</v>
      </c>
      <c r="BD39" s="15">
        <v>-312.50447386942244</v>
      </c>
      <c r="BE39" s="15">
        <f t="shared" si="3"/>
        <v>12760.000000000004</v>
      </c>
      <c r="BF39" s="15">
        <v>123097.00000000003</v>
      </c>
      <c r="BG39" s="15">
        <v>9263.9999999999673</v>
      </c>
      <c r="BH39" s="15">
        <v>1552</v>
      </c>
      <c r="BI39" s="15">
        <v>0</v>
      </c>
      <c r="BJ39" s="15">
        <v>0</v>
      </c>
      <c r="BK39" s="15">
        <v>1487.5166801918108</v>
      </c>
      <c r="BL39" s="15">
        <v>0</v>
      </c>
      <c r="BM39" s="15">
        <v>0</v>
      </c>
      <c r="BN39" s="15">
        <v>0</v>
      </c>
      <c r="BO39" s="15">
        <v>217279.93543781093</v>
      </c>
      <c r="BP39" s="15">
        <v>7455.2169478100086</v>
      </c>
      <c r="BQ39" s="15">
        <v>414.30245145840598</v>
      </c>
      <c r="BR39" s="15">
        <v>891</v>
      </c>
      <c r="BS39" s="15">
        <v>1613</v>
      </c>
      <c r="BT39" s="15">
        <v>686</v>
      </c>
      <c r="BU39" s="15">
        <v>1591</v>
      </c>
      <c r="BV39" s="15">
        <v>1018.9999999999999</v>
      </c>
      <c r="BW39" s="15">
        <v>0</v>
      </c>
      <c r="BX39" s="15">
        <v>106</v>
      </c>
      <c r="BY39" s="15">
        <v>6196</v>
      </c>
      <c r="BZ39" s="15">
        <v>1960.0000000000009</v>
      </c>
      <c r="CA39" s="15">
        <v>295</v>
      </c>
      <c r="CB39" s="15">
        <v>540</v>
      </c>
      <c r="CC39" s="15">
        <v>0</v>
      </c>
      <c r="CD39" s="15">
        <v>0</v>
      </c>
      <c r="CE39" s="15">
        <v>0</v>
      </c>
      <c r="CF39" s="15">
        <v>297</v>
      </c>
      <c r="CG39" s="15">
        <v>297</v>
      </c>
      <c r="CH39" s="15">
        <v>34141</v>
      </c>
      <c r="CI39" s="15"/>
      <c r="CJ39" s="15">
        <v>347.54516292063323</v>
      </c>
      <c r="CK39" s="15">
        <v>4250</v>
      </c>
      <c r="CL39" s="15">
        <v>55649</v>
      </c>
      <c r="CM39" s="15">
        <v>42594</v>
      </c>
      <c r="CN39" s="15">
        <v>10682.000000000005</v>
      </c>
      <c r="CO39" s="15">
        <v>762.51668019181068</v>
      </c>
      <c r="CP39" s="15">
        <v>4188.7002676181974</v>
      </c>
      <c r="CQ39" s="15">
        <v>3931</v>
      </c>
      <c r="CR39" s="15">
        <v>4415.7002676181983</v>
      </c>
      <c r="CS39" s="15">
        <v>4194.9152542372876</v>
      </c>
      <c r="CT39" s="15">
        <v>220.78501338091007</v>
      </c>
      <c r="CU39" s="15">
        <v>458.1</v>
      </c>
      <c r="CV39" s="15">
        <v>7945.575565139141</v>
      </c>
      <c r="CW39" s="15">
        <v>18793</v>
      </c>
      <c r="CX39" s="15">
        <v>997</v>
      </c>
      <c r="CY39" s="15">
        <v>0</v>
      </c>
      <c r="CZ39" s="15">
        <v>996</v>
      </c>
      <c r="DA39" s="19">
        <v>0</v>
      </c>
      <c r="DB39" s="19">
        <v>0</v>
      </c>
      <c r="DC39" s="19">
        <v>1.0346922590346197E-2</v>
      </c>
      <c r="DD39" s="19">
        <v>5.2410466251956001E-2</v>
      </c>
      <c r="DE39" s="19">
        <v>0.26935022054485136</v>
      </c>
      <c r="DF39" s="19">
        <v>0.32065087352786065</v>
      </c>
      <c r="DG39" s="19">
        <v>0.3472415170849858</v>
      </c>
      <c r="DH39" s="15">
        <v>2524.4833198081897</v>
      </c>
      <c r="DI39" s="15">
        <v>207662.45211800272</v>
      </c>
      <c r="DJ39" s="15">
        <v>173521.45211800275</v>
      </c>
      <c r="DK39" s="15">
        <v>218743</v>
      </c>
      <c r="DL39" s="18">
        <v>7.9460828460796454E-2</v>
      </c>
      <c r="DM39" s="15">
        <v>150261.74722414216</v>
      </c>
      <c r="DN39" s="15">
        <v>115435.42641774073</v>
      </c>
      <c r="DO39" s="15">
        <v>25547.463575959944</v>
      </c>
      <c r="DP39" s="15">
        <v>1129.6611324241974</v>
      </c>
      <c r="DQ39" s="15">
        <v>4928.9087631867196</v>
      </c>
      <c r="DR39" s="15">
        <v>3220.2873348305784</v>
      </c>
      <c r="DS39" s="15">
        <v>154579.74722414219</v>
      </c>
      <c r="DT39" s="18">
        <f t="shared" si="4"/>
        <v>0.16740187587374</v>
      </c>
      <c r="DU39" s="18">
        <f t="shared" si="5"/>
        <v>0.19880120476925728</v>
      </c>
      <c r="DV39" s="18">
        <f t="shared" si="6"/>
        <v>7.6586020648271885E-2</v>
      </c>
      <c r="DW39" s="18">
        <f t="shared" si="7"/>
        <v>-1.979656177370118E-2</v>
      </c>
      <c r="DX39" s="18">
        <f t="shared" si="8"/>
        <v>0.11107786528153693</v>
      </c>
      <c r="DY39" s="18">
        <f t="shared" si="9"/>
        <v>0.20393148020658811</v>
      </c>
      <c r="DZ39" s="18">
        <f t="shared" si="10"/>
        <v>-3.369416794664376E-2</v>
      </c>
      <c r="EA39" s="18">
        <f t="shared" si="11"/>
        <v>0.21792223123612003</v>
      </c>
      <c r="EB39" s="18">
        <f t="shared" si="12"/>
        <v>7.7770051704830548E-2</v>
      </c>
      <c r="EC39" s="18">
        <f t="shared" si="13"/>
        <v>0.64277338950759022</v>
      </c>
      <c r="ED39" s="18">
        <f t="shared" si="14"/>
        <v>0.13866070280488663</v>
      </c>
      <c r="EE39" s="18">
        <f t="shared" si="15"/>
        <v>2.3730167018845272E-2</v>
      </c>
      <c r="EF39" s="18">
        <f t="shared" si="16"/>
        <v>1.2906433923813462E-2</v>
      </c>
      <c r="EG39" s="18">
        <f t="shared" si="17"/>
        <v>0.11479240117286474</v>
      </c>
      <c r="EH39" s="18">
        <f t="shared" si="18"/>
        <v>1.4550854880837925E-2</v>
      </c>
      <c r="EI39" s="18">
        <f t="shared" si="19"/>
        <v>4.6452558344742705E-2</v>
      </c>
      <c r="EJ39" s="18">
        <f t="shared" si="20"/>
        <v>1.0211280685740268E-2</v>
      </c>
      <c r="EK39" s="18">
        <f t="shared" si="21"/>
        <v>-1.051005060733372E-2</v>
      </c>
      <c r="EL39" s="18">
        <f t="shared" si="22"/>
        <v>-4.2789940706674037E-3</v>
      </c>
      <c r="EM39" s="6">
        <v>8.964943032427696</v>
      </c>
      <c r="EN39" s="6">
        <v>9.3360102208432192</v>
      </c>
      <c r="EO39" s="6">
        <v>10.315439941549078</v>
      </c>
      <c r="EP39" s="6">
        <v>8.6414599034634598</v>
      </c>
      <c r="EQ39" s="14">
        <v>96183.2</v>
      </c>
      <c r="ER39" s="14"/>
      <c r="ES39" s="15">
        <v>144126</v>
      </c>
      <c r="ET39" s="15">
        <v>60118.457600747046</v>
      </c>
      <c r="EU39" s="15">
        <v>0.4</v>
      </c>
      <c r="EX39" s="16"/>
      <c r="EY39" s="16"/>
      <c r="FA39" s="17"/>
      <c r="FB39" s="17"/>
      <c r="FC39" s="17"/>
      <c r="GJ39" s="6">
        <v>0.23954857188369533</v>
      </c>
    </row>
    <row r="40" spans="1:192" ht="15">
      <c r="A40" s="12">
        <v>1948</v>
      </c>
      <c r="B40" s="13"/>
      <c r="C40" s="15">
        <f t="shared" si="0"/>
        <v>818879.94262389664</v>
      </c>
      <c r="D40" s="15">
        <v>126291.52965755473</v>
      </c>
      <c r="E40" s="15">
        <v>4455.1975946267858</v>
      </c>
      <c r="F40" s="15">
        <v>144089.60213556048</v>
      </c>
      <c r="G40" s="15">
        <v>275</v>
      </c>
      <c r="H40" s="15">
        <v>7789.4999999999864</v>
      </c>
      <c r="I40" s="15">
        <v>182745.99999999997</v>
      </c>
      <c r="L40" s="15">
        <v>0</v>
      </c>
      <c r="M40" s="15">
        <v>92485.000000000015</v>
      </c>
      <c r="N40" s="15">
        <v>-30844.499999999996</v>
      </c>
      <c r="O40" s="15">
        <v>-10983.5</v>
      </c>
      <c r="P40" s="15">
        <v>188399.5</v>
      </c>
      <c r="Q40" s="15">
        <v>0</v>
      </c>
      <c r="R40" s="15">
        <v>64542</v>
      </c>
      <c r="S40" s="15">
        <v>2.360478448142295E-2</v>
      </c>
      <c r="T40" s="15">
        <v>-18519.5</v>
      </c>
      <c r="U40" s="15">
        <v>57170.613236154706</v>
      </c>
      <c r="V40" s="15">
        <v>123.24999999999999</v>
      </c>
      <c r="W40" s="15">
        <v>299.44952494061766</v>
      </c>
      <c r="X40" s="15">
        <v>49.137470308788608</v>
      </c>
      <c r="Y40" s="15">
        <v>69.081502375296907</v>
      </c>
      <c r="Z40" s="15">
        <v>69.081502375296907</v>
      </c>
      <c r="AA40" s="15">
        <v>248677.14947225866</v>
      </c>
      <c r="AB40" s="15">
        <v>12254</v>
      </c>
      <c r="AC40" s="15">
        <v>10476</v>
      </c>
      <c r="AD40" s="15">
        <v>3229.3492042188291</v>
      </c>
      <c r="AE40" s="15">
        <v>-126.47581739760427</v>
      </c>
      <c r="AF40" s="15">
        <v>2376.9999999999995</v>
      </c>
      <c r="AG40" s="15">
        <v>3561</v>
      </c>
      <c r="AH40" s="15">
        <v>62791.022859079909</v>
      </c>
      <c r="AI40" s="15">
        <v>8874.9999999999982</v>
      </c>
      <c r="AJ40" s="15">
        <v>5707.6985226223433</v>
      </c>
      <c r="AK40" s="15">
        <v>3167.3014773776567</v>
      </c>
      <c r="AL40" s="15">
        <f t="shared" si="1"/>
        <v>32286.996370638553</v>
      </c>
      <c r="AM40" s="15">
        <v>32286.996370638553</v>
      </c>
      <c r="AN40" s="15">
        <v>0</v>
      </c>
      <c r="AO40" s="15">
        <v>7499.3489745903798</v>
      </c>
      <c r="AP40" s="15">
        <v>11218.640383198233</v>
      </c>
      <c r="AQ40" s="15"/>
      <c r="AR40" s="15"/>
      <c r="AS40" s="15">
        <v>2600.1637438315238</v>
      </c>
      <c r="AT40" s="15">
        <v>389.48961267669114</v>
      </c>
      <c r="AU40" s="15">
        <f t="shared" si="2"/>
        <v>2210.6741311548326</v>
      </c>
      <c r="AV40" s="15">
        <v>-1523.9999999999998</v>
      </c>
      <c r="AW40" s="15">
        <v>-1268</v>
      </c>
      <c r="AX40" s="15">
        <v>185886.12661317876</v>
      </c>
      <c r="AY40" s="15">
        <v>144313</v>
      </c>
      <c r="AZ40" s="15">
        <v>31428</v>
      </c>
      <c r="BA40" s="15"/>
      <c r="BB40" s="15"/>
      <c r="BC40" s="15">
        <v>10558.650795781174</v>
      </c>
      <c r="BD40" s="15">
        <v>-413.52418260239585</v>
      </c>
      <c r="BE40" s="15">
        <f t="shared" si="3"/>
        <v>13788.000000000004</v>
      </c>
      <c r="BF40" s="15">
        <v>135550.00000000003</v>
      </c>
      <c r="BG40" s="15">
        <v>8762.9999999999491</v>
      </c>
      <c r="BH40" s="15">
        <v>1666.9999999999998</v>
      </c>
      <c r="BI40" s="15">
        <v>0</v>
      </c>
      <c r="BJ40" s="15">
        <v>0</v>
      </c>
      <c r="BK40" s="15">
        <v>1638</v>
      </c>
      <c r="BL40" s="15">
        <v>0</v>
      </c>
      <c r="BM40" s="15">
        <v>0</v>
      </c>
      <c r="BN40" s="15">
        <v>0</v>
      </c>
      <c r="BO40" s="15">
        <v>242520.24729346242</v>
      </c>
      <c r="BP40" s="15">
        <v>8041.8421052631575</v>
      </c>
      <c r="BQ40" s="15">
        <v>512.06007353305711</v>
      </c>
      <c r="BR40" s="15">
        <v>1101</v>
      </c>
      <c r="BS40" s="15">
        <v>1296.0000000000002</v>
      </c>
      <c r="BT40" s="15">
        <v>833.00000000000011</v>
      </c>
      <c r="BU40" s="15">
        <v>1270</v>
      </c>
      <c r="BV40" s="15">
        <v>1165</v>
      </c>
      <c r="BW40" s="15">
        <v>0</v>
      </c>
      <c r="BX40" s="15">
        <v>117</v>
      </c>
      <c r="BY40" s="15">
        <v>5515</v>
      </c>
      <c r="BZ40" s="15">
        <v>2598</v>
      </c>
      <c r="CA40" s="15">
        <v>364</v>
      </c>
      <c r="CB40" s="15">
        <v>952</v>
      </c>
      <c r="CC40" s="15">
        <v>0</v>
      </c>
      <c r="CD40" s="15">
        <v>0</v>
      </c>
      <c r="CE40" s="15">
        <v>0</v>
      </c>
      <c r="CF40" s="15">
        <v>336</v>
      </c>
      <c r="CG40" s="15">
        <v>336</v>
      </c>
      <c r="CH40" s="15">
        <v>35274</v>
      </c>
      <c r="CI40" s="15"/>
      <c r="CJ40" s="15">
        <v>345.85052774136216</v>
      </c>
      <c r="CK40" s="15">
        <v>4175</v>
      </c>
      <c r="CL40" s="15">
        <v>56869</v>
      </c>
      <c r="CM40" s="15">
        <v>43723</v>
      </c>
      <c r="CN40" s="15">
        <v>11173.999999999993</v>
      </c>
      <c r="CO40" s="15">
        <v>1201.9999999999998</v>
      </c>
      <c r="CP40" s="15">
        <v>4442.8421052631584</v>
      </c>
      <c r="CQ40" s="15">
        <v>3004</v>
      </c>
      <c r="CR40" s="15">
        <v>4736.8421052631584</v>
      </c>
      <c r="CS40" s="15">
        <v>4500</v>
      </c>
      <c r="CT40" s="15">
        <v>236.84210526315812</v>
      </c>
      <c r="CU40" s="15">
        <v>509</v>
      </c>
      <c r="CV40" s="15">
        <v>8553.7112535921824</v>
      </c>
      <c r="CW40" s="15">
        <v>18065</v>
      </c>
      <c r="CX40" s="15">
        <v>1140</v>
      </c>
      <c r="CY40" s="15">
        <v>0</v>
      </c>
      <c r="CZ40" s="15">
        <v>1068</v>
      </c>
      <c r="DA40" s="19">
        <v>0</v>
      </c>
      <c r="DB40" s="19">
        <v>0</v>
      </c>
      <c r="DC40" s="19">
        <v>1.3167356671046071E-2</v>
      </c>
      <c r="DD40" s="19">
        <v>5.6923178355090864E-2</v>
      </c>
      <c r="DE40" s="19">
        <v>0.27000672715706009</v>
      </c>
      <c r="DF40" s="19">
        <v>0.3244779138967443</v>
      </c>
      <c r="DG40" s="19">
        <v>0.33542482392005868</v>
      </c>
      <c r="DH40" s="15">
        <v>1311</v>
      </c>
      <c r="DI40" s="15">
        <v>233219.24729346242</v>
      </c>
      <c r="DJ40" s="15">
        <v>197945.24729346242</v>
      </c>
      <c r="DK40" s="15">
        <v>244848</v>
      </c>
      <c r="DL40" s="18">
        <v>8.6141197804352088E-2</v>
      </c>
      <c r="DM40" s="15">
        <v>166778.82213714879</v>
      </c>
      <c r="DN40" s="15">
        <v>127288.05014631833</v>
      </c>
      <c r="DO40" s="15">
        <v>28817.182290740573</v>
      </c>
      <c r="DP40" s="15">
        <v>1298.8956165364298</v>
      </c>
      <c r="DQ40" s="15">
        <v>5707.0468322197248</v>
      </c>
      <c r="DR40" s="15">
        <v>3667.6472513337244</v>
      </c>
      <c r="DS40" s="15">
        <v>171141.82213714879</v>
      </c>
      <c r="DT40" s="18">
        <f t="shared" si="4"/>
        <v>0.15422471974693261</v>
      </c>
      <c r="DU40" s="18">
        <f t="shared" si="5"/>
        <v>0.19124818130038915</v>
      </c>
      <c r="DV40" s="18">
        <f t="shared" si="6"/>
        <v>6.981562285304696E-2</v>
      </c>
      <c r="DW40" s="18">
        <f t="shared" si="7"/>
        <v>-2.2615647344663099E-2</v>
      </c>
      <c r="DX40" s="18">
        <f t="shared" si="8"/>
        <v>0.11294085394698383</v>
      </c>
      <c r="DY40" s="18">
        <f t="shared" si="9"/>
        <v>0.23006974550667436</v>
      </c>
      <c r="DZ40" s="18">
        <f t="shared" si="10"/>
        <v>-3.7666693729445228E-2</v>
      </c>
      <c r="EA40" s="18">
        <f t="shared" si="11"/>
        <v>0.22316580305341949</v>
      </c>
      <c r="EB40" s="18">
        <f t="shared" si="12"/>
        <v>7.8817414666661936E-2</v>
      </c>
      <c r="EC40" s="18">
        <f t="shared" si="13"/>
        <v>0.62480981276807113</v>
      </c>
      <c r="ED40" s="18">
        <f t="shared" si="14"/>
        <v>0.13606898058854672</v>
      </c>
      <c r="EE40" s="18">
        <f t="shared" si="15"/>
        <v>2.3311191117029111E-2</v>
      </c>
      <c r="EF40" s="18">
        <f t="shared" si="16"/>
        <v>1.2935786599758449E-2</v>
      </c>
      <c r="EG40" s="18">
        <f t="shared" si="17"/>
        <v>0.13186546906913085</v>
      </c>
      <c r="EH40" s="18">
        <f t="shared" si="18"/>
        <v>1.4989705867851656E-2</v>
      </c>
      <c r="EI40" s="18">
        <f t="shared" si="19"/>
        <v>4.5818795265626974E-2</v>
      </c>
      <c r="EJ40" s="18">
        <f t="shared" si="20"/>
        <v>1.0619501665651848E-2</v>
      </c>
      <c r="EK40" s="18">
        <f t="shared" si="21"/>
        <v>-6.2242697510292086E-3</v>
      </c>
      <c r="EL40" s="18">
        <f t="shared" si="22"/>
        <v>-5.1787231261844081E-3</v>
      </c>
      <c r="EM40" s="6">
        <v>8.4838682922783448</v>
      </c>
      <c r="EN40" s="6">
        <v>8.8567223617002853</v>
      </c>
      <c r="EO40" s="6">
        <v>9.5714692384137781</v>
      </c>
      <c r="EP40" s="6">
        <v>8.1788090085757794</v>
      </c>
      <c r="EQ40" s="14">
        <v>97551.6</v>
      </c>
      <c r="ER40" s="14"/>
      <c r="ES40" s="15">
        <v>146631</v>
      </c>
      <c r="ET40" s="15">
        <v>60825.465619867253</v>
      </c>
      <c r="EU40" s="15">
        <v>0.4</v>
      </c>
      <c r="EX40" s="16"/>
      <c r="EY40" s="16"/>
      <c r="FA40" s="17"/>
      <c r="FB40" s="17"/>
      <c r="FC40" s="17"/>
      <c r="GJ40" s="6">
        <v>0.20810457923736356</v>
      </c>
    </row>
    <row r="41" spans="1:192" ht="15">
      <c r="A41" s="12">
        <v>1949</v>
      </c>
      <c r="B41" s="13"/>
      <c r="C41" s="15">
        <f t="shared" si="0"/>
        <v>850263.45489692502</v>
      </c>
      <c r="D41" s="15">
        <v>129793.91109602233</v>
      </c>
      <c r="E41" s="15">
        <v>4095.3301978560085</v>
      </c>
      <c r="F41" s="15">
        <v>148325.95620159974</v>
      </c>
      <c r="G41" s="15">
        <v>325.50000000000011</v>
      </c>
      <c r="H41" s="15">
        <v>8171.99999999994</v>
      </c>
      <c r="I41" s="15">
        <v>188558.49999999997</v>
      </c>
      <c r="L41" s="15">
        <v>0</v>
      </c>
      <c r="M41" s="15">
        <v>95392.5</v>
      </c>
      <c r="N41" s="15">
        <v>-35414</v>
      </c>
      <c r="O41" s="15">
        <v>-12206</v>
      </c>
      <c r="P41" s="15">
        <v>207930.5</v>
      </c>
      <c r="Q41" s="15">
        <v>0</v>
      </c>
      <c r="R41" s="15">
        <v>69873.5</v>
      </c>
      <c r="S41" s="15">
        <v>2.4279590975119319E-2</v>
      </c>
      <c r="T41" s="15">
        <v>-21960</v>
      </c>
      <c r="U41" s="15">
        <v>55169.757401447037</v>
      </c>
      <c r="V41" s="15">
        <v>92.649999999999991</v>
      </c>
      <c r="W41" s="15">
        <v>290.59431540342302</v>
      </c>
      <c r="X41" s="15">
        <v>46.143520782396095</v>
      </c>
      <c r="Y41" s="15">
        <v>56.306081907090466</v>
      </c>
      <c r="Z41" s="15">
        <v>56.306081907090466</v>
      </c>
      <c r="AA41" s="15">
        <v>243698.14281316416</v>
      </c>
      <c r="AB41" s="15">
        <v>10010</v>
      </c>
      <c r="AC41" s="15">
        <v>9246.25</v>
      </c>
      <c r="AD41" s="15">
        <v>3271.4585076671169</v>
      </c>
      <c r="AE41" s="15">
        <v>-114.23266980915896</v>
      </c>
      <c r="AF41" s="15">
        <v>2654</v>
      </c>
      <c r="AG41" s="15">
        <v>3988.0000000000005</v>
      </c>
      <c r="AH41" s="15">
        <v>61018.618651022116</v>
      </c>
      <c r="AI41" s="15">
        <v>9997</v>
      </c>
      <c r="AJ41" s="15">
        <v>6440.9379000408562</v>
      </c>
      <c r="AK41" s="15">
        <v>3556.0620999591438</v>
      </c>
      <c r="AL41" s="15">
        <f t="shared" si="1"/>
        <v>30036.366788350711</v>
      </c>
      <c r="AM41" s="15">
        <v>30036.366788350711</v>
      </c>
      <c r="AN41" s="15">
        <v>0</v>
      </c>
      <c r="AO41" s="15">
        <v>8090.0860767499707</v>
      </c>
      <c r="AP41" s="15">
        <v>10075.880969609261</v>
      </c>
      <c r="AQ41" s="15"/>
      <c r="AR41" s="15"/>
      <c r="AS41" s="15">
        <v>2945.0589784542226</v>
      </c>
      <c r="AT41" s="15">
        <v>392.5969702749685</v>
      </c>
      <c r="AU41" s="15">
        <f t="shared" si="2"/>
        <v>2552.4620081792541</v>
      </c>
      <c r="AV41" s="15">
        <v>-1724.9999999999998</v>
      </c>
      <c r="AW41" s="15">
        <v>-1558</v>
      </c>
      <c r="AX41" s="15">
        <v>182679.52416214204</v>
      </c>
      <c r="AY41" s="15">
        <v>144334</v>
      </c>
      <c r="AZ41" s="15">
        <v>27738.75</v>
      </c>
      <c r="BA41" s="15"/>
      <c r="BB41" s="15"/>
      <c r="BC41" s="15">
        <v>10990.541492332881</v>
      </c>
      <c r="BD41" s="15">
        <v>-383.76733019084105</v>
      </c>
      <c r="BE41" s="15">
        <f t="shared" si="3"/>
        <v>14261.999999999998</v>
      </c>
      <c r="BF41" s="15">
        <v>134733.00000000003</v>
      </c>
      <c r="BG41" s="15">
        <v>9600.9999999999709</v>
      </c>
      <c r="BH41" s="15">
        <v>1617.9999999999998</v>
      </c>
      <c r="BI41" s="15">
        <v>0</v>
      </c>
      <c r="BJ41" s="15">
        <v>0</v>
      </c>
      <c r="BK41" s="15">
        <v>1638</v>
      </c>
      <c r="BL41" s="15">
        <v>0</v>
      </c>
      <c r="BM41" s="15">
        <v>0</v>
      </c>
      <c r="BN41" s="15">
        <v>0</v>
      </c>
      <c r="BO41" s="15">
        <v>238342.51103721239</v>
      </c>
      <c r="BP41" s="15">
        <v>8413.8947368421068</v>
      </c>
      <c r="BQ41" s="15">
        <v>616.73703910969687</v>
      </c>
      <c r="BR41" s="15">
        <v>1397</v>
      </c>
      <c r="BS41" s="15">
        <v>2277.9999999999995</v>
      </c>
      <c r="BT41" s="15">
        <v>985</v>
      </c>
      <c r="BU41" s="15">
        <v>2247</v>
      </c>
      <c r="BV41" s="15">
        <v>1414</v>
      </c>
      <c r="BW41" s="15">
        <v>0</v>
      </c>
      <c r="BX41" s="15">
        <v>126</v>
      </c>
      <c r="BY41" s="15">
        <v>4900</v>
      </c>
      <c r="BZ41" s="15">
        <v>2548</v>
      </c>
      <c r="CA41" s="15">
        <v>475</v>
      </c>
      <c r="CB41" s="15">
        <v>533</v>
      </c>
      <c r="CC41" s="15">
        <v>0</v>
      </c>
      <c r="CD41" s="15">
        <v>0</v>
      </c>
      <c r="CE41" s="15">
        <v>0</v>
      </c>
      <c r="CF41" s="15">
        <v>340</v>
      </c>
      <c r="CG41" s="15">
        <v>340</v>
      </c>
      <c r="CH41" s="15">
        <v>38493</v>
      </c>
      <c r="CI41" s="15"/>
      <c r="CJ41" s="15">
        <v>368.85718683583332</v>
      </c>
      <c r="CK41" s="15">
        <v>4340.9999999999991</v>
      </c>
      <c r="CL41" s="15">
        <v>53452.000000000007</v>
      </c>
      <c r="CM41" s="15">
        <v>46281.000000000007</v>
      </c>
      <c r="CN41" s="15">
        <v>3604</v>
      </c>
      <c r="CO41" s="15">
        <v>23.999999999999577</v>
      </c>
      <c r="CP41" s="15">
        <v>4714.8947368421068</v>
      </c>
      <c r="CQ41" s="15">
        <v>3349</v>
      </c>
      <c r="CR41" s="15">
        <v>5157.8947368421059</v>
      </c>
      <c r="CS41" s="15">
        <v>4900</v>
      </c>
      <c r="CT41" s="15">
        <v>257.89473684210554</v>
      </c>
      <c r="CU41" s="15">
        <v>616</v>
      </c>
      <c r="CV41" s="15">
        <v>8537.5510148319554</v>
      </c>
      <c r="CW41" s="15">
        <v>15376</v>
      </c>
      <c r="CX41" s="15">
        <v>1357</v>
      </c>
      <c r="CY41" s="15">
        <v>0</v>
      </c>
      <c r="CZ41" s="15">
        <v>915</v>
      </c>
      <c r="DA41" s="19">
        <v>0</v>
      </c>
      <c r="DB41" s="19">
        <v>0</v>
      </c>
      <c r="DC41" s="19">
        <v>1.5987790751745834E-2</v>
      </c>
      <c r="DD41" s="19">
        <v>6.1435890458225728E-2</v>
      </c>
      <c r="DE41" s="19">
        <v>0.27066323376926882</v>
      </c>
      <c r="DF41" s="19">
        <v>0.32830495426562795</v>
      </c>
      <c r="DG41" s="19">
        <v>0.32360813075513156</v>
      </c>
      <c r="DH41" s="15">
        <v>1634.0000000000007</v>
      </c>
      <c r="DI41" s="15">
        <v>234925.51103721236</v>
      </c>
      <c r="DJ41" s="15">
        <v>196432.51103721239</v>
      </c>
      <c r="DK41" s="15">
        <v>239726</v>
      </c>
      <c r="DL41" s="18">
        <v>8.6663524190117053E-2</v>
      </c>
      <c r="DM41" s="15">
        <v>165005.5141610865</v>
      </c>
      <c r="DN41" s="15">
        <v>126824.90812633006</v>
      </c>
      <c r="DO41" s="15">
        <v>26394.606723412904</v>
      </c>
      <c r="DP41" s="15">
        <v>1537.7293075644127</v>
      </c>
      <c r="DQ41" s="15">
        <v>6033.6035508473524</v>
      </c>
      <c r="DR41" s="15">
        <v>4214.6664529317814</v>
      </c>
      <c r="DS41" s="15">
        <v>168146.5141610865</v>
      </c>
      <c r="DT41" s="18">
        <f t="shared" si="4"/>
        <v>0.15265140510097175</v>
      </c>
      <c r="DU41" s="18">
        <f t="shared" si="5"/>
        <v>0.18925755949250272</v>
      </c>
      <c r="DV41" s="18">
        <f t="shared" si="6"/>
        <v>6.4885485885236724E-2</v>
      </c>
      <c r="DW41" s="18">
        <f t="shared" si="7"/>
        <v>-2.5827289028507224E-2</v>
      </c>
      <c r="DX41" s="18">
        <f t="shared" si="8"/>
        <v>0.11219169711529488</v>
      </c>
      <c r="DY41" s="18">
        <f t="shared" si="9"/>
        <v>0.24454832064399007</v>
      </c>
      <c r="DZ41" s="18">
        <f t="shared" si="10"/>
        <v>-4.1650619929670077E-2</v>
      </c>
      <c r="EA41" s="18">
        <f t="shared" si="11"/>
        <v>0.2217647940929772</v>
      </c>
      <c r="EB41" s="18">
        <f t="shared" si="12"/>
        <v>8.2178646627203991E-2</v>
      </c>
      <c r="EC41" s="18">
        <f t="shared" si="13"/>
        <v>0.64053472060184213</v>
      </c>
      <c r="ED41" s="18">
        <f t="shared" si="14"/>
        <v>0.1231008111816644</v>
      </c>
      <c r="EE41" s="18">
        <f t="shared" si="15"/>
        <v>2.6867915453646481E-2</v>
      </c>
      <c r="EF41" s="18">
        <f t="shared" si="16"/>
        <v>1.4833860740842227E-2</v>
      </c>
      <c r="EG41" s="18">
        <f t="shared" si="17"/>
        <v>0.12529457292221416</v>
      </c>
      <c r="EH41" s="18">
        <f t="shared" si="18"/>
        <v>1.7177708148410287E-2</v>
      </c>
      <c r="EI41" s="18">
        <f t="shared" si="19"/>
        <v>4.2030822562464071E-2</v>
      </c>
      <c r="EJ41" s="18">
        <f t="shared" si="20"/>
        <v>1.2285104571278137E-2</v>
      </c>
      <c r="EK41" s="18">
        <f t="shared" si="21"/>
        <v>-7.195715108081726E-3</v>
      </c>
      <c r="EL41" s="18">
        <f t="shared" si="22"/>
        <v>-6.4990864570384525E-3</v>
      </c>
      <c r="EM41" s="6">
        <v>8.4873879853966159</v>
      </c>
      <c r="EN41" s="6">
        <v>8.8859550073829592</v>
      </c>
      <c r="EO41" s="6">
        <v>9.6653071721237165</v>
      </c>
      <c r="EP41" s="6">
        <v>8.2435576379352131</v>
      </c>
      <c r="EQ41" s="14">
        <v>98941</v>
      </c>
      <c r="ER41" s="14"/>
      <c r="ES41" s="15">
        <v>149188</v>
      </c>
      <c r="ET41" s="15">
        <v>61536.661793876156</v>
      </c>
      <c r="EU41" s="15">
        <v>0.4</v>
      </c>
      <c r="EX41" s="16"/>
      <c r="EY41" s="16"/>
      <c r="FA41" s="17"/>
      <c r="FB41" s="17"/>
      <c r="FC41" s="17"/>
      <c r="GJ41" s="6">
        <v>0.22980061968928389</v>
      </c>
    </row>
    <row r="42" spans="1:192" ht="15">
      <c r="A42" s="12">
        <v>1950</v>
      </c>
      <c r="B42" s="13"/>
      <c r="C42" s="15">
        <f t="shared" si="0"/>
        <v>895418.83890258032</v>
      </c>
      <c r="D42" s="15">
        <v>144012.97743504474</v>
      </c>
      <c r="E42" s="15">
        <v>4505.2064154314448</v>
      </c>
      <c r="F42" s="15">
        <v>151709.64126665972</v>
      </c>
      <c r="G42" s="15">
        <v>404.00000000000017</v>
      </c>
      <c r="H42" s="15">
        <v>8524.49999999994</v>
      </c>
      <c r="I42" s="15">
        <v>193534.99999999997</v>
      </c>
      <c r="L42" s="15">
        <v>0</v>
      </c>
      <c r="M42" s="15">
        <v>99733.5</v>
      </c>
      <c r="N42" s="15">
        <v>-41328</v>
      </c>
      <c r="O42" s="15">
        <v>-13843</v>
      </c>
      <c r="P42" s="15">
        <v>229925</v>
      </c>
      <c r="Q42" s="15">
        <v>0</v>
      </c>
      <c r="R42" s="15">
        <v>75420.999999999985</v>
      </c>
      <c r="S42" s="15">
        <v>2.7134352501292751E-2</v>
      </c>
      <c r="T42" s="15">
        <v>-26570.5</v>
      </c>
      <c r="U42" s="15">
        <v>55546.513785444491</v>
      </c>
      <c r="V42" s="15">
        <v>181.04999999999998</v>
      </c>
      <c r="W42" s="15">
        <v>359.70161606268357</v>
      </c>
      <c r="X42" s="15">
        <v>49.828795298726739</v>
      </c>
      <c r="Y42" s="15">
        <v>60.209794319294822</v>
      </c>
      <c r="Z42" s="15">
        <v>60.209794319294822</v>
      </c>
      <c r="AA42" s="15">
        <v>270710.03898218268</v>
      </c>
      <c r="AB42" s="15">
        <v>17728</v>
      </c>
      <c r="AC42" s="15">
        <v>9992.75</v>
      </c>
      <c r="AD42" s="15">
        <v>3837.6198470757172</v>
      </c>
      <c r="AE42" s="15">
        <v>-204.6633473198475</v>
      </c>
      <c r="AF42" s="15">
        <v>2812</v>
      </c>
      <c r="AG42" s="15">
        <v>4331</v>
      </c>
      <c r="AH42" s="15">
        <v>71131.745481938618</v>
      </c>
      <c r="AI42" s="15">
        <v>11238</v>
      </c>
      <c r="AJ42" s="15">
        <v>7384.8571089484913</v>
      </c>
      <c r="AK42" s="15">
        <v>3853.1428910515078</v>
      </c>
      <c r="AL42" s="15">
        <f t="shared" si="1"/>
        <v>37049.887235910377</v>
      </c>
      <c r="AM42" s="15">
        <v>37049.887235910377</v>
      </c>
      <c r="AN42" s="15">
        <v>0</v>
      </c>
      <c r="AO42" s="15">
        <v>8847.900823590413</v>
      </c>
      <c r="AP42" s="15">
        <v>10914.771160628408</v>
      </c>
      <c r="AQ42" s="15"/>
      <c r="AR42" s="15"/>
      <c r="AS42" s="15">
        <v>3468.2297620535546</v>
      </c>
      <c r="AT42" s="15">
        <v>526.49834465431718</v>
      </c>
      <c r="AU42" s="15">
        <f t="shared" si="2"/>
        <v>2941.7314173992372</v>
      </c>
      <c r="AV42" s="15">
        <v>-1990.0000000000002</v>
      </c>
      <c r="AW42" s="15">
        <v>-2030.0000000000002</v>
      </c>
      <c r="AX42" s="15">
        <v>199578.29350024418</v>
      </c>
      <c r="AY42" s="15">
        <v>158269</v>
      </c>
      <c r="AZ42" s="15">
        <v>29978.250000000004</v>
      </c>
      <c r="BA42" s="15"/>
      <c r="BB42" s="15"/>
      <c r="BC42" s="15">
        <v>11969.380152924285</v>
      </c>
      <c r="BD42" s="15">
        <v>-638.3366526801525</v>
      </c>
      <c r="BE42" s="15">
        <f t="shared" si="3"/>
        <v>15807.000000000002</v>
      </c>
      <c r="BF42" s="15">
        <v>147253.00000000003</v>
      </c>
      <c r="BG42" s="15">
        <v>11015.999999999964</v>
      </c>
      <c r="BH42" s="15">
        <v>2599.9999999999995</v>
      </c>
      <c r="BI42" s="15">
        <v>0</v>
      </c>
      <c r="BJ42" s="15">
        <v>0</v>
      </c>
      <c r="BK42" s="15">
        <v>1505</v>
      </c>
      <c r="BL42" s="15">
        <v>0</v>
      </c>
      <c r="BM42" s="15">
        <v>0</v>
      </c>
      <c r="BN42" s="15">
        <v>0</v>
      </c>
      <c r="BO42" s="15">
        <v>262751.42807411717</v>
      </c>
      <c r="BP42" s="15">
        <v>10420.78947368421</v>
      </c>
      <c r="BQ42" s="15">
        <v>764.82143438133585</v>
      </c>
      <c r="BR42" s="15">
        <v>1700</v>
      </c>
      <c r="BS42" s="15">
        <v>1527.0000000000005</v>
      </c>
      <c r="BT42" s="15">
        <v>1306</v>
      </c>
      <c r="BU42" s="15">
        <v>1489</v>
      </c>
      <c r="BV42" s="15">
        <v>1504</v>
      </c>
      <c r="BW42" s="15">
        <v>0</v>
      </c>
      <c r="BX42" s="15">
        <v>142</v>
      </c>
      <c r="BY42" s="15">
        <v>7675</v>
      </c>
      <c r="BZ42" s="15">
        <v>3067</v>
      </c>
      <c r="CA42" s="15">
        <v>551</v>
      </c>
      <c r="CB42" s="15">
        <v>869.99999999999989</v>
      </c>
      <c r="CC42" s="15">
        <v>0</v>
      </c>
      <c r="CD42" s="15">
        <v>0</v>
      </c>
      <c r="CE42" s="15">
        <v>0</v>
      </c>
      <c r="CF42" s="15">
        <v>362</v>
      </c>
      <c r="CG42" s="15">
        <v>362</v>
      </c>
      <c r="CH42" s="15">
        <v>39059</v>
      </c>
      <c r="CI42" s="15"/>
      <c r="CJ42" s="15">
        <v>414.96101781724161</v>
      </c>
      <c r="CK42" s="15">
        <v>4514.0000000000018</v>
      </c>
      <c r="CL42" s="15">
        <v>65897</v>
      </c>
      <c r="CM42" s="15">
        <v>50163</v>
      </c>
      <c r="CN42" s="15">
        <v>12578.000000000005</v>
      </c>
      <c r="CO42" s="15">
        <v>1309.9999999999995</v>
      </c>
      <c r="CP42" s="15">
        <v>5883.78947368421</v>
      </c>
      <c r="CQ42" s="15">
        <v>3373</v>
      </c>
      <c r="CR42" s="15">
        <v>6315.7894736842109</v>
      </c>
      <c r="CS42" s="15">
        <v>6000</v>
      </c>
      <c r="CT42" s="15">
        <v>315.7894736842108</v>
      </c>
      <c r="CU42" s="15">
        <v>810</v>
      </c>
      <c r="CV42" s="15">
        <v>6826.0036978197468</v>
      </c>
      <c r="CW42" s="15">
        <v>17432</v>
      </c>
      <c r="CX42" s="15">
        <v>1480</v>
      </c>
      <c r="CY42" s="15">
        <v>0</v>
      </c>
      <c r="CZ42" s="15">
        <v>825</v>
      </c>
      <c r="DA42" s="19">
        <v>0</v>
      </c>
      <c r="DB42" s="19">
        <v>0</v>
      </c>
      <c r="DC42" s="19">
        <v>1.8808224832445819E-2</v>
      </c>
      <c r="DD42" s="19">
        <v>6.594860256136037E-2</v>
      </c>
      <c r="DE42" s="19">
        <v>0.27131974038147766</v>
      </c>
      <c r="DF42" s="19">
        <v>0.3321319946345116</v>
      </c>
      <c r="DG42" s="19">
        <v>0.31179143759020445</v>
      </c>
      <c r="DH42" s="15">
        <v>1377.0000000000007</v>
      </c>
      <c r="DI42" s="15">
        <v>251965.42807411717</v>
      </c>
      <c r="DJ42" s="15">
        <v>212906.42807411717</v>
      </c>
      <c r="DK42" s="15">
        <v>266610.99999999994</v>
      </c>
      <c r="DL42" s="18">
        <v>8.8051505751825687E-2</v>
      </c>
      <c r="DM42" s="15">
        <v>182539.35609498681</v>
      </c>
      <c r="DN42" s="15">
        <v>140912.35047943855</v>
      </c>
      <c r="DO42" s="15">
        <v>28322.164722411959</v>
      </c>
      <c r="DP42" s="15">
        <v>1604.9417746382196</v>
      </c>
      <c r="DQ42" s="15">
        <v>7077.1438941798451</v>
      </c>
      <c r="DR42" s="15">
        <v>4622.7552243182299</v>
      </c>
      <c r="DS42" s="15">
        <v>188313.35609498681</v>
      </c>
      <c r="DT42" s="18">
        <f t="shared" si="4"/>
        <v>0.16083308858181511</v>
      </c>
      <c r="DU42" s="18">
        <f t="shared" si="5"/>
        <v>0.18443139736091521</v>
      </c>
      <c r="DV42" s="18">
        <f t="shared" si="6"/>
        <v>6.2034113391585495E-2</v>
      </c>
      <c r="DW42" s="18">
        <f t="shared" si="7"/>
        <v>-2.9673822847601283E-2</v>
      </c>
      <c r="DX42" s="18">
        <f t="shared" si="8"/>
        <v>0.11138195408333462</v>
      </c>
      <c r="DY42" s="18">
        <f t="shared" si="9"/>
        <v>0.25677927469316442</v>
      </c>
      <c r="DZ42" s="18">
        <f t="shared" si="10"/>
        <v>-4.615493689037338E-2</v>
      </c>
      <c r="EA42" s="18">
        <f t="shared" si="11"/>
        <v>0.21613907547131267</v>
      </c>
      <c r="EB42" s="18">
        <f t="shared" si="12"/>
        <v>8.4229856155847119E-2</v>
      </c>
      <c r="EC42" s="18">
        <f t="shared" si="13"/>
        <v>0.63137779117765258</v>
      </c>
      <c r="ED42" s="18">
        <f t="shared" si="14"/>
        <v>0.1195913367012584</v>
      </c>
      <c r="EE42" s="18">
        <f t="shared" si="15"/>
        <v>2.7698996324039493E-2</v>
      </c>
      <c r="EF42" s="18">
        <f t="shared" si="16"/>
        <v>1.4452302759644233E-2</v>
      </c>
      <c r="EG42" s="18">
        <f t="shared" si="17"/>
        <v>0.13896608630518015</v>
      </c>
      <c r="EH42" s="18">
        <f t="shared" si="18"/>
        <v>1.7811950149872486E-2</v>
      </c>
      <c r="EI42" s="18">
        <f t="shared" si="19"/>
        <v>4.0938937855633906E-2</v>
      </c>
      <c r="EJ42" s="18">
        <f t="shared" si="20"/>
        <v>1.3008577148180515E-2</v>
      </c>
      <c r="EK42" s="18">
        <f t="shared" si="21"/>
        <v>-7.4640581221329981E-3</v>
      </c>
      <c r="EL42" s="18">
        <f t="shared" si="22"/>
        <v>-7.6140894411708473E-3</v>
      </c>
      <c r="EM42" s="6">
        <v>8.4078579648199909</v>
      </c>
      <c r="EN42" s="6">
        <v>8.810196348604892</v>
      </c>
      <c r="EO42" s="6">
        <v>9.5714692384137781</v>
      </c>
      <c r="EP42" s="6">
        <v>8.1461642851440885</v>
      </c>
      <c r="EQ42" s="14">
        <v>100224</v>
      </c>
      <c r="ER42" s="14"/>
      <c r="ES42" s="15">
        <v>151684</v>
      </c>
      <c r="ET42" s="15">
        <v>62446</v>
      </c>
      <c r="EU42" s="15">
        <v>0.75</v>
      </c>
      <c r="EX42" s="16"/>
      <c r="EY42" s="16"/>
      <c r="FA42" s="17"/>
      <c r="FB42" s="17"/>
      <c r="FC42" s="17"/>
      <c r="GJ42" s="6">
        <v>0.22773363134795965</v>
      </c>
    </row>
    <row r="43" spans="1:192" ht="15">
      <c r="A43" s="12">
        <v>1951</v>
      </c>
      <c r="B43" s="13"/>
      <c r="C43" s="15">
        <f t="shared" si="0"/>
        <v>967650.67372206424</v>
      </c>
      <c r="D43" s="15">
        <v>163562.39843981416</v>
      </c>
      <c r="E43" s="15">
        <v>5493.6160501588147</v>
      </c>
      <c r="F43" s="15">
        <v>155370.96370221957</v>
      </c>
      <c r="G43" s="15">
        <v>490.50000000000017</v>
      </c>
      <c r="H43" s="15">
        <v>8983.99999999998</v>
      </c>
      <c r="I43" s="15">
        <v>209580.49999999997</v>
      </c>
      <c r="L43" s="15">
        <v>0</v>
      </c>
      <c r="M43" s="15">
        <v>105531</v>
      </c>
      <c r="N43" s="15">
        <v>-48521</v>
      </c>
      <c r="O43" s="15">
        <v>-15704.5</v>
      </c>
      <c r="P43" s="15">
        <v>257094.50000000003</v>
      </c>
      <c r="Q43" s="15">
        <v>0</v>
      </c>
      <c r="R43" s="15">
        <v>81404</v>
      </c>
      <c r="S43" s="15">
        <v>3.012136995725026E-2</v>
      </c>
      <c r="T43" s="15">
        <v>-30253.999999999996</v>
      </c>
      <c r="U43" s="15">
        <v>58914.195529871788</v>
      </c>
      <c r="V43" s="15">
        <v>180.2</v>
      </c>
      <c r="W43" s="15">
        <v>342.46153846153845</v>
      </c>
      <c r="X43" s="15">
        <v>47.378137651821852</v>
      </c>
      <c r="Y43" s="15">
        <v>59.480161943319821</v>
      </c>
      <c r="Z43" s="15">
        <v>59.480161943319821</v>
      </c>
      <c r="AA43" s="15">
        <v>311720.15063159395</v>
      </c>
      <c r="AB43" s="15">
        <v>22304</v>
      </c>
      <c r="AC43" s="15">
        <v>11328.750000000002</v>
      </c>
      <c r="AD43" s="15">
        <v>4044.7810230302189</v>
      </c>
      <c r="AE43" s="15">
        <v>-248.63220787938695</v>
      </c>
      <c r="AF43" s="15">
        <v>3149.9999999999995</v>
      </c>
      <c r="AG43" s="15">
        <v>4546</v>
      </c>
      <c r="AH43" s="15">
        <v>79824.049446744772</v>
      </c>
      <c r="AI43" s="15">
        <v>12620.999999999998</v>
      </c>
      <c r="AJ43" s="15">
        <v>8601.8957871396888</v>
      </c>
      <c r="AK43" s="15">
        <v>4019.1042128603103</v>
      </c>
      <c r="AL43" s="15">
        <f t="shared" si="1"/>
        <v>42232.814934664988</v>
      </c>
      <c r="AM43" s="15">
        <v>42232.814934664988</v>
      </c>
      <c r="AN43" s="15">
        <v>0</v>
      </c>
      <c r="AO43" s="15">
        <v>9526.6078574622916</v>
      </c>
      <c r="AP43" s="15">
        <v>12302.510164997057</v>
      </c>
      <c r="AQ43" s="15"/>
      <c r="AR43" s="15"/>
      <c r="AS43" s="15">
        <v>3913.9676744696026</v>
      </c>
      <c r="AT43" s="15">
        <v>633.12144605108301</v>
      </c>
      <c r="AU43" s="15">
        <f t="shared" si="2"/>
        <v>3280.8462284185198</v>
      </c>
      <c r="AV43" s="15">
        <v>-2348</v>
      </c>
      <c r="AW43" s="15">
        <v>-2220.9999999999995</v>
      </c>
      <c r="AX43" s="15">
        <v>231896.10118484916</v>
      </c>
      <c r="AY43" s="15">
        <v>185705</v>
      </c>
      <c r="AZ43" s="15">
        <v>33986.250000000007</v>
      </c>
      <c r="BA43" s="15"/>
      <c r="BB43" s="15"/>
      <c r="BC43" s="15">
        <v>13004.218976969783</v>
      </c>
      <c r="BD43" s="15">
        <v>-799.36779212061299</v>
      </c>
      <c r="BE43" s="15">
        <f t="shared" si="3"/>
        <v>17049.000000000004</v>
      </c>
      <c r="BF43" s="15">
        <v>171607.00000000003</v>
      </c>
      <c r="BG43" s="15">
        <v>14097.999999999985</v>
      </c>
      <c r="BH43" s="15">
        <v>3299</v>
      </c>
      <c r="BI43" s="15">
        <v>0</v>
      </c>
      <c r="BJ43" s="15">
        <v>0</v>
      </c>
      <c r="BK43" s="15">
        <v>1756</v>
      </c>
      <c r="BL43" s="15">
        <v>0</v>
      </c>
      <c r="BM43" s="15">
        <v>0</v>
      </c>
      <c r="BN43" s="15">
        <v>0</v>
      </c>
      <c r="BO43" s="15">
        <v>300960.20300794655</v>
      </c>
      <c r="BP43" s="15">
        <v>13476.052631578947</v>
      </c>
      <c r="BQ43" s="15">
        <v>908.89499206840128</v>
      </c>
      <c r="BR43" s="15">
        <v>2703</v>
      </c>
      <c r="BS43" s="15">
        <v>922.00000000000011</v>
      </c>
      <c r="BT43" s="15">
        <v>2239</v>
      </c>
      <c r="BU43" s="15">
        <v>886</v>
      </c>
      <c r="BV43" s="15">
        <v>1523</v>
      </c>
      <c r="BW43" s="15">
        <v>0</v>
      </c>
      <c r="BX43" s="15">
        <v>167.00000000000009</v>
      </c>
      <c r="BY43" s="15">
        <v>4581</v>
      </c>
      <c r="BZ43" s="15">
        <v>2524</v>
      </c>
      <c r="CA43" s="15">
        <v>552</v>
      </c>
      <c r="CB43" s="15">
        <v>282</v>
      </c>
      <c r="CC43" s="15">
        <v>0</v>
      </c>
      <c r="CD43" s="15">
        <v>0</v>
      </c>
      <c r="CE43" s="15">
        <v>0</v>
      </c>
      <c r="CF43" s="15">
        <v>295</v>
      </c>
      <c r="CG43" s="15">
        <v>295</v>
      </c>
      <c r="CH43" s="15">
        <v>53722</v>
      </c>
      <c r="CI43" s="15"/>
      <c r="CJ43" s="15">
        <v>453.84936840608265</v>
      </c>
      <c r="CK43" s="15">
        <v>4538.9999999999982</v>
      </c>
      <c r="CL43" s="15">
        <v>81679.000000000015</v>
      </c>
      <c r="CM43" s="15">
        <v>61122</v>
      </c>
      <c r="CN43" s="15">
        <v>16370.999999999995</v>
      </c>
      <c r="CO43" s="15">
        <v>1929.9999999999998</v>
      </c>
      <c r="CP43" s="15">
        <v>7921.0526315789466</v>
      </c>
      <c r="CQ43" s="15">
        <v>4094.9999999999995</v>
      </c>
      <c r="CR43" s="15">
        <v>8421.0526315789466</v>
      </c>
      <c r="CS43" s="15">
        <v>7999.9999999999991</v>
      </c>
      <c r="CT43" s="15">
        <v>421.05263157894774</v>
      </c>
      <c r="CU43" s="15">
        <v>1057</v>
      </c>
      <c r="CV43" s="15">
        <v>10006.841622834145</v>
      </c>
      <c r="CW43" s="15">
        <v>25375</v>
      </c>
      <c r="CX43" s="15">
        <v>1680</v>
      </c>
      <c r="CY43" s="15">
        <v>0</v>
      </c>
      <c r="CZ43" s="15">
        <v>940</v>
      </c>
      <c r="DA43" s="19">
        <v>0</v>
      </c>
      <c r="DB43" s="19">
        <v>0</v>
      </c>
      <c r="DC43" s="19">
        <v>2.1628658913145693E-2</v>
      </c>
      <c r="DD43" s="19">
        <v>7.0461314664495234E-2</v>
      </c>
      <c r="DE43" s="19">
        <v>0.27197624699368639</v>
      </c>
      <c r="DF43" s="19">
        <v>0.33595903500339525</v>
      </c>
      <c r="DG43" s="19">
        <v>0.29997474442527733</v>
      </c>
      <c r="DH43" s="15">
        <v>1579.9999999999993</v>
      </c>
      <c r="DI43" s="15">
        <v>286506.20300794655</v>
      </c>
      <c r="DJ43" s="15">
        <v>232784.20300794655</v>
      </c>
      <c r="DK43" s="15">
        <v>307635.00000000006</v>
      </c>
      <c r="DL43" s="18">
        <v>8.4156549157280547E-2</v>
      </c>
      <c r="DM43" s="15">
        <v>204931.01915195637</v>
      </c>
      <c r="DN43" s="15">
        <v>162205.83361785751</v>
      </c>
      <c r="DO43" s="15">
        <v>29296.701032675312</v>
      </c>
      <c r="DP43" s="15">
        <v>1711.218640432548</v>
      </c>
      <c r="DQ43" s="15">
        <v>6958.6302410337485</v>
      </c>
      <c r="DR43" s="15">
        <v>4758.6356199572565</v>
      </c>
      <c r="DS43" s="15">
        <v>210812.01915195637</v>
      </c>
      <c r="DT43" s="18">
        <f t="shared" si="4"/>
        <v>0.16903041860206855</v>
      </c>
      <c r="DU43" s="18">
        <f t="shared" si="5"/>
        <v>0.17603364972316898</v>
      </c>
      <c r="DV43" s="18">
        <f t="shared" si="6"/>
        <v>6.088374361716567E-2</v>
      </c>
      <c r="DW43" s="18">
        <f t="shared" si="7"/>
        <v>-3.1265415114762551E-2</v>
      </c>
      <c r="DX43" s="18">
        <f t="shared" si="8"/>
        <v>0.10905898467891874</v>
      </c>
      <c r="DY43" s="18">
        <f t="shared" si="9"/>
        <v>0.26568937218953936</v>
      </c>
      <c r="DZ43" s="18">
        <f t="shared" si="10"/>
        <v>-5.0143095352131753E-2</v>
      </c>
      <c r="EA43" s="18">
        <f t="shared" si="11"/>
        <v>0.21658694164274123</v>
      </c>
      <c r="EB43" s="18">
        <f t="shared" si="12"/>
        <v>8.4125400013291843E-2</v>
      </c>
      <c r="EC43" s="18">
        <f t="shared" si="13"/>
        <v>0.63938584847213653</v>
      </c>
      <c r="ED43" s="18">
        <f t="shared" si="14"/>
        <v>0.11701530541792711</v>
      </c>
      <c r="EE43" s="18">
        <f t="shared" si="15"/>
        <v>2.7961369113201316E-2</v>
      </c>
      <c r="EF43" s="18">
        <f t="shared" si="16"/>
        <v>1.3064521959010872E-2</v>
      </c>
      <c r="EG43" s="18">
        <f t="shared" si="17"/>
        <v>0.13728221735064275</v>
      </c>
      <c r="EH43" s="18">
        <f t="shared" si="18"/>
        <v>1.7688030379730442E-2</v>
      </c>
      <c r="EI43" s="18">
        <f t="shared" si="19"/>
        <v>3.9990606286661318E-2</v>
      </c>
      <c r="EJ43" s="18">
        <f t="shared" si="20"/>
        <v>1.2722764556924933E-2</v>
      </c>
      <c r="EK43" s="18">
        <f t="shared" si="21"/>
        <v>-7.6324215385115465E-3</v>
      </c>
      <c r="EL43" s="18">
        <f t="shared" si="22"/>
        <v>-7.2195946495034668E-3</v>
      </c>
      <c r="EM43" s="6">
        <v>7.8739127087983993</v>
      </c>
      <c r="EN43" s="6">
        <v>8.2723376728390061</v>
      </c>
      <c r="EO43" s="6">
        <v>8.8702176361135407</v>
      </c>
      <c r="EP43" s="6">
        <v>7.6268310911808666</v>
      </c>
      <c r="EQ43" s="14">
        <v>101451.8</v>
      </c>
      <c r="ER43" s="14"/>
      <c r="ES43" s="15">
        <v>154287</v>
      </c>
      <c r="ET43" s="15">
        <v>63059.890213245293</v>
      </c>
      <c r="EU43" s="15">
        <v>0.75</v>
      </c>
      <c r="EX43" s="16"/>
      <c r="EY43" s="16"/>
      <c r="FA43" s="17"/>
      <c r="FB43" s="17"/>
      <c r="FC43" s="17"/>
      <c r="GJ43" s="6">
        <v>0.19250008847177</v>
      </c>
    </row>
    <row r="44" spans="1:192" ht="15">
      <c r="A44" s="12">
        <v>1952</v>
      </c>
      <c r="B44" s="13"/>
      <c r="C44" s="15">
        <f t="shared" si="0"/>
        <v>1027188.0451673989</v>
      </c>
      <c r="D44" s="15">
        <v>171242.74657080128</v>
      </c>
      <c r="E44" s="15">
        <v>8186.247852699843</v>
      </c>
      <c r="F44" s="15">
        <v>162335.0416600013</v>
      </c>
      <c r="G44" s="15">
        <v>570.00000000000011</v>
      </c>
      <c r="H44" s="15">
        <v>9962.0000000000255</v>
      </c>
      <c r="I44" s="15">
        <v>220395.5</v>
      </c>
      <c r="L44" s="15">
        <v>0</v>
      </c>
      <c r="M44" s="15">
        <v>109189</v>
      </c>
      <c r="N44" s="15">
        <v>-55104</v>
      </c>
      <c r="O44" s="15">
        <v>-17307.5</v>
      </c>
      <c r="P44" s="15">
        <v>282813</v>
      </c>
      <c r="Q44" s="15">
        <v>0</v>
      </c>
      <c r="R44" s="15">
        <v>89357</v>
      </c>
      <c r="S44" s="15">
        <v>3.9912933513882518E-2</v>
      </c>
      <c r="T44" s="15">
        <v>-33838.499999999993</v>
      </c>
      <c r="U44" s="15">
        <v>62080.009083896373</v>
      </c>
      <c r="V44" s="15">
        <v>226.09999999999997</v>
      </c>
      <c r="W44" s="15">
        <v>315.38136426839492</v>
      </c>
      <c r="X44" s="15">
        <v>59.098145275278377</v>
      </c>
      <c r="Y44" s="15">
        <v>37.669704687622747</v>
      </c>
      <c r="Z44" s="15">
        <v>37.669704687622747</v>
      </c>
      <c r="AA44" s="15">
        <v>330285.42732832249</v>
      </c>
      <c r="AB44" s="15">
        <v>19107</v>
      </c>
      <c r="AC44" s="15">
        <v>11434.75</v>
      </c>
      <c r="AD44" s="15">
        <v>4225.4649723384127</v>
      </c>
      <c r="AE44" s="15">
        <v>-174.55753034745578</v>
      </c>
      <c r="AF44" s="15">
        <v>3492.9999999999995</v>
      </c>
      <c r="AG44" s="15">
        <v>4892</v>
      </c>
      <c r="AH44" s="15">
        <v>80982.084770313479</v>
      </c>
      <c r="AI44" s="15">
        <v>14464.999999999998</v>
      </c>
      <c r="AJ44" s="15">
        <v>10175.070178636528</v>
      </c>
      <c r="AK44" s="15">
        <v>4289.929821363472</v>
      </c>
      <c r="AL44" s="15">
        <f t="shared" si="1"/>
        <v>40490.735331329808</v>
      </c>
      <c r="AM44" s="15">
        <v>40490.735331329808</v>
      </c>
      <c r="AN44" s="15">
        <v>0</v>
      </c>
      <c r="AO44" s="15">
        <v>10297.864360327949</v>
      </c>
      <c r="AP44" s="15">
        <v>12462.630413523331</v>
      </c>
      <c r="AQ44" s="15"/>
      <c r="AR44" s="15"/>
      <c r="AS44" s="15">
        <v>4476.9472231414347</v>
      </c>
      <c r="AT44" s="15">
        <v>843.30700395231372</v>
      </c>
      <c r="AU44" s="15">
        <f t="shared" si="2"/>
        <v>3633.6402191891211</v>
      </c>
      <c r="AV44" s="15">
        <v>-2715.9999999999995</v>
      </c>
      <c r="AW44" s="15">
        <v>-2546.0000000000005</v>
      </c>
      <c r="AX44" s="15">
        <v>249303.34255800903</v>
      </c>
      <c r="AY44" s="15">
        <v>201088</v>
      </c>
      <c r="AZ44" s="15">
        <v>34304.25</v>
      </c>
      <c r="BA44" s="15"/>
      <c r="BB44" s="15"/>
      <c r="BC44" s="15">
        <v>14510.53502766159</v>
      </c>
      <c r="BD44" s="15">
        <v>-599.44246965254433</v>
      </c>
      <c r="BE44" s="15">
        <f t="shared" si="3"/>
        <v>18736.000000000004</v>
      </c>
      <c r="BF44" s="15">
        <v>185636.00000000006</v>
      </c>
      <c r="BG44" s="15">
        <v>15451.999999999942</v>
      </c>
      <c r="BH44" s="15">
        <v>3526</v>
      </c>
      <c r="BI44" s="15">
        <v>0</v>
      </c>
      <c r="BJ44" s="15">
        <v>0</v>
      </c>
      <c r="BK44" s="15">
        <v>1645</v>
      </c>
      <c r="BL44" s="15">
        <v>206</v>
      </c>
      <c r="BM44" s="15">
        <v>0</v>
      </c>
      <c r="BN44" s="15">
        <v>0</v>
      </c>
      <c r="BO44" s="15">
        <v>318620.47669534001</v>
      </c>
      <c r="BP44" s="15">
        <v>14850.684210526317</v>
      </c>
      <c r="BQ44" s="15">
        <v>1152.2664224561959</v>
      </c>
      <c r="BR44" s="15">
        <v>3220</v>
      </c>
      <c r="BS44" s="15">
        <v>1117.9999999999998</v>
      </c>
      <c r="BT44" s="15">
        <v>2679.0000000000005</v>
      </c>
      <c r="BU44" s="15">
        <v>1075</v>
      </c>
      <c r="BV44" s="15">
        <v>1590</v>
      </c>
      <c r="BW44" s="15">
        <v>0</v>
      </c>
      <c r="BX44" s="15">
        <v>183.00000000000023</v>
      </c>
      <c r="BY44" s="15">
        <v>4322</v>
      </c>
      <c r="BZ44" s="15">
        <v>2675</v>
      </c>
      <c r="CA44" s="15">
        <v>539</v>
      </c>
      <c r="CB44" s="15">
        <v>363</v>
      </c>
      <c r="CC44" s="15">
        <v>0</v>
      </c>
      <c r="CD44" s="15">
        <v>0</v>
      </c>
      <c r="CE44" s="15">
        <v>0</v>
      </c>
      <c r="CF44" s="15">
        <v>252</v>
      </c>
      <c r="CG44" s="15">
        <v>252</v>
      </c>
      <c r="CH44" s="15">
        <v>64962.999999999993</v>
      </c>
      <c r="CI44" s="15"/>
      <c r="CJ44" s="15">
        <v>456.57267167747978</v>
      </c>
      <c r="CK44" s="15">
        <v>4624.0000000000018</v>
      </c>
      <c r="CL44" s="15">
        <v>86211</v>
      </c>
      <c r="CM44" s="15">
        <v>72211.999999999985</v>
      </c>
      <c r="CN44" s="15">
        <v>9480.0000000000091</v>
      </c>
      <c r="CO44" s="15">
        <v>1622.9999999999998</v>
      </c>
      <c r="CP44" s="15">
        <v>8889.6842105263167</v>
      </c>
      <c r="CQ44" s="15">
        <v>4143</v>
      </c>
      <c r="CR44" s="15">
        <v>9473.6842105263167</v>
      </c>
      <c r="CS44" s="15">
        <v>9000</v>
      </c>
      <c r="CT44" s="15">
        <v>473.68421052631624</v>
      </c>
      <c r="CU44" s="15">
        <v>1184</v>
      </c>
      <c r="CV44" s="15">
        <v>10331.631444254135</v>
      </c>
      <c r="CW44" s="15">
        <v>30167</v>
      </c>
      <c r="CX44" s="15">
        <v>1838</v>
      </c>
      <c r="CY44" s="15">
        <v>0</v>
      </c>
      <c r="CZ44" s="15">
        <v>1055</v>
      </c>
      <c r="DA44" s="19">
        <v>0</v>
      </c>
      <c r="DB44" s="19">
        <v>0</v>
      </c>
      <c r="DC44" s="19">
        <v>2.7860729840561649E-2</v>
      </c>
      <c r="DD44" s="19">
        <v>7.4529383018035245E-2</v>
      </c>
      <c r="DE44" s="19">
        <v>0.27258236888855969</v>
      </c>
      <c r="DF44" s="19">
        <v>0.32938063790119054</v>
      </c>
      <c r="DG44" s="19">
        <v>0.29564688035165276</v>
      </c>
      <c r="DH44" s="15">
        <v>1545.9999999999998</v>
      </c>
      <c r="DI44" s="15">
        <v>310772.47669534007</v>
      </c>
      <c r="DJ44" s="15">
        <v>245809.47669534004</v>
      </c>
      <c r="DK44" s="15">
        <v>326117.99999999994</v>
      </c>
      <c r="DL44" s="18">
        <v>8.2842713373686816E-2</v>
      </c>
      <c r="DM44" s="15">
        <v>218231.94781739844</v>
      </c>
      <c r="DN44" s="15">
        <v>175798.63826562546</v>
      </c>
      <c r="DO44" s="15">
        <v>29056.486178036856</v>
      </c>
      <c r="DP44" s="15">
        <v>1852.6539270613819</v>
      </c>
      <c r="DQ44" s="15">
        <v>6716.4973988105103</v>
      </c>
      <c r="DR44" s="15">
        <v>4807.6720478642137</v>
      </c>
      <c r="DS44" s="15">
        <v>223148.94781739844</v>
      </c>
      <c r="DT44" s="18">
        <f t="shared" si="4"/>
        <v>0.16671022153776544</v>
      </c>
      <c r="DU44" s="18">
        <f t="shared" si="5"/>
        <v>0.17626109490321731</v>
      </c>
      <c r="DV44" s="18">
        <f t="shared" si="6"/>
        <v>6.04368492954757E-2</v>
      </c>
      <c r="DW44" s="18">
        <f t="shared" si="7"/>
        <v>-3.2942848351087843E-2</v>
      </c>
      <c r="DX44" s="18">
        <f t="shared" si="8"/>
        <v>0.10629893962814344</v>
      </c>
      <c r="DY44" s="18">
        <f t="shared" si="9"/>
        <v>0.27532738657789824</v>
      </c>
      <c r="DZ44" s="18">
        <f t="shared" si="10"/>
        <v>-5.3645484153799515E-2</v>
      </c>
      <c r="EA44" s="18">
        <f t="shared" si="11"/>
        <v>0.21456197921781942</v>
      </c>
      <c r="EB44" s="18">
        <f t="shared" si="12"/>
        <v>8.6991861344567795E-2</v>
      </c>
      <c r="EC44" s="18">
        <f t="shared" si="13"/>
        <v>0.65462158369086632</v>
      </c>
      <c r="ED44" s="18">
        <f t="shared" si="14"/>
        <v>0.11167400572051739</v>
      </c>
      <c r="EE44" s="18">
        <f t="shared" si="15"/>
        <v>3.1200578252769028E-2</v>
      </c>
      <c r="EF44" s="18">
        <f t="shared" si="16"/>
        <v>1.3154532474023123E-2</v>
      </c>
      <c r="EG44" s="18">
        <f t="shared" si="17"/>
        <v>0.12415976833946551</v>
      </c>
      <c r="EH44" s="18">
        <f t="shared" si="18"/>
        <v>1.8798217307862269E-2</v>
      </c>
      <c r="EI44" s="18">
        <f t="shared" si="19"/>
        <v>3.8215095191076034E-2</v>
      </c>
      <c r="EJ44" s="18">
        <f t="shared" si="20"/>
        <v>1.3727997912232491E-2</v>
      </c>
      <c r="EK44" s="18">
        <f t="shared" si="21"/>
        <v>-8.3282738149994782E-3</v>
      </c>
      <c r="EL44" s="18">
        <f t="shared" si="22"/>
        <v>-7.8069901078750663E-3</v>
      </c>
      <c r="EM44" s="6">
        <v>7.7060418863944564</v>
      </c>
      <c r="EN44" s="6">
        <v>8.0968737633557577</v>
      </c>
      <c r="EO44" s="6">
        <v>8.6805400262846977</v>
      </c>
      <c r="EP44" s="6">
        <v>7.4737805771202579</v>
      </c>
      <c r="EQ44" s="14">
        <v>102625.60000000001</v>
      </c>
      <c r="ER44" s="14"/>
      <c r="ES44" s="15">
        <v>156954</v>
      </c>
      <c r="ET44" s="15">
        <v>63684.1301574846</v>
      </c>
      <c r="EU44" s="15">
        <v>0.75</v>
      </c>
      <c r="EX44" s="16"/>
      <c r="EY44" s="16"/>
      <c r="FA44" s="17"/>
      <c r="FB44" s="17"/>
      <c r="FC44" s="17"/>
      <c r="GJ44" s="6">
        <v>0.19961567469926816</v>
      </c>
    </row>
    <row r="45" spans="1:192" ht="15">
      <c r="A45" s="12">
        <v>1953</v>
      </c>
      <c r="B45" s="13"/>
      <c r="C45" s="15">
        <f t="shared" si="0"/>
        <v>1059711.7691983983</v>
      </c>
      <c r="D45" s="15">
        <v>168139.80788449786</v>
      </c>
      <c r="E45" s="15">
        <v>12173.715888035997</v>
      </c>
      <c r="F45" s="15">
        <v>171688.13868010705</v>
      </c>
      <c r="G45" s="15">
        <v>615.49999999999989</v>
      </c>
      <c r="H45" s="15">
        <v>10970.49999999998</v>
      </c>
      <c r="I45" s="15">
        <v>219221.5</v>
      </c>
      <c r="L45" s="15">
        <v>0</v>
      </c>
      <c r="M45" s="15">
        <v>111216.5</v>
      </c>
      <c r="N45" s="15">
        <v>-62177</v>
      </c>
      <c r="O45" s="15">
        <v>-18535</v>
      </c>
      <c r="P45" s="15">
        <v>304903.5</v>
      </c>
      <c r="Q45" s="15">
        <v>0</v>
      </c>
      <c r="R45" s="15">
        <v>98152.5</v>
      </c>
      <c r="S45" s="15">
        <v>4.9178574157560939E-2</v>
      </c>
      <c r="T45" s="15">
        <v>-38923.5</v>
      </c>
      <c r="U45" s="15">
        <v>63730.606745757301</v>
      </c>
      <c r="V45" s="15">
        <v>201.68168797037958</v>
      </c>
      <c r="W45" s="15">
        <v>375.1338830549966</v>
      </c>
      <c r="X45" s="15">
        <v>69.388926345432907</v>
      </c>
      <c r="Y45" s="15">
        <v>54.189626376447791</v>
      </c>
      <c r="Z45" s="15">
        <v>54.189626376447791</v>
      </c>
      <c r="AA45" s="15">
        <v>347996.00173324789</v>
      </c>
      <c r="AB45" s="15">
        <v>19944</v>
      </c>
      <c r="AC45" s="15">
        <v>11126.000000000002</v>
      </c>
      <c r="AD45" s="15">
        <v>4433.4190864672237</v>
      </c>
      <c r="AE45" s="15">
        <v>-113.9103929239767</v>
      </c>
      <c r="AF45" s="15">
        <v>3812</v>
      </c>
      <c r="AG45" s="15">
        <v>5284.0000000000009</v>
      </c>
      <c r="AH45" s="15">
        <v>84201.510426791167</v>
      </c>
      <c r="AI45" s="15">
        <v>16483</v>
      </c>
      <c r="AJ45" s="15">
        <v>11763.536342830086</v>
      </c>
      <c r="AK45" s="15">
        <v>4719.4636571699129</v>
      </c>
      <c r="AL45" s="15">
        <f t="shared" si="1"/>
        <v>40605.230823089558</v>
      </c>
      <c r="AM45" s="15">
        <v>40605.230823089558</v>
      </c>
      <c r="AN45" s="15">
        <v>0</v>
      </c>
      <c r="AO45" s="15">
        <v>11448.608752733984</v>
      </c>
      <c r="AP45" s="15">
        <v>12211.018958611483</v>
      </c>
      <c r="AQ45" s="15"/>
      <c r="AR45" s="15"/>
      <c r="AS45" s="15">
        <v>5288.1431988129043</v>
      </c>
      <c r="AT45" s="15">
        <v>1165.7052047882364</v>
      </c>
      <c r="AU45" s="15">
        <f t="shared" si="2"/>
        <v>4122.4379940246681</v>
      </c>
      <c r="AV45" s="15">
        <v>-2982</v>
      </c>
      <c r="AW45" s="15">
        <v>-3172</v>
      </c>
      <c r="AX45" s="15">
        <v>263794.4913064568</v>
      </c>
      <c r="AY45" s="15">
        <v>215245</v>
      </c>
      <c r="AZ45" s="15">
        <v>33378</v>
      </c>
      <c r="BA45" s="15"/>
      <c r="BB45" s="15"/>
      <c r="BC45" s="15">
        <v>15571.580913532775</v>
      </c>
      <c r="BD45" s="15">
        <v>-400.08960707602324</v>
      </c>
      <c r="BE45" s="15">
        <f t="shared" si="3"/>
        <v>20005</v>
      </c>
      <c r="BF45" s="15">
        <v>198989.00000000006</v>
      </c>
      <c r="BG45" s="15">
        <v>16255.999999999944</v>
      </c>
      <c r="BH45" s="15">
        <v>3732.9999999999995</v>
      </c>
      <c r="BI45" s="15">
        <v>0</v>
      </c>
      <c r="BJ45" s="15">
        <v>0</v>
      </c>
      <c r="BK45" s="15">
        <v>1649</v>
      </c>
      <c r="BL45" s="15">
        <v>219</v>
      </c>
      <c r="BM45" s="15">
        <v>0</v>
      </c>
      <c r="BN45" s="15">
        <v>0</v>
      </c>
      <c r="BO45" s="15">
        <v>336201.78239623789</v>
      </c>
      <c r="BP45" s="15">
        <v>15601</v>
      </c>
      <c r="BQ45" s="15">
        <v>1494.2193370100315</v>
      </c>
      <c r="BR45" s="15">
        <v>4167.9999999999991</v>
      </c>
      <c r="BS45" s="15">
        <v>1133.0000000000009</v>
      </c>
      <c r="BT45" s="15">
        <v>3523.9999999999995</v>
      </c>
      <c r="BU45" s="15">
        <v>1084</v>
      </c>
      <c r="BV45" s="15">
        <v>1662</v>
      </c>
      <c r="BW45" s="15">
        <v>0</v>
      </c>
      <c r="BX45" s="15">
        <v>191.00000000000017</v>
      </c>
      <c r="BY45" s="15">
        <v>4074</v>
      </c>
      <c r="BZ45" s="15">
        <v>2684.9999999999991</v>
      </c>
      <c r="CA45" s="15">
        <v>545</v>
      </c>
      <c r="CB45" s="15">
        <v>287.00000000000006</v>
      </c>
      <c r="CC45" s="15">
        <v>0</v>
      </c>
      <c r="CD45" s="15">
        <v>0</v>
      </c>
      <c r="CE45" s="15">
        <v>0</v>
      </c>
      <c r="CF45" s="15">
        <v>228</v>
      </c>
      <c r="CG45" s="15">
        <v>228</v>
      </c>
      <c r="CH45" s="15">
        <v>70099</v>
      </c>
      <c r="CI45" s="15"/>
      <c r="CJ45" s="15">
        <v>521.99826675206771</v>
      </c>
      <c r="CK45" s="15">
        <v>4683</v>
      </c>
      <c r="CL45" s="15">
        <v>90540</v>
      </c>
      <c r="CM45" s="15">
        <v>77086</v>
      </c>
      <c r="CN45" s="15">
        <v>8252.9999999999927</v>
      </c>
      <c r="CO45" s="15">
        <v>993.00000000000034</v>
      </c>
      <c r="CP45" s="15">
        <v>9307</v>
      </c>
      <c r="CQ45" s="15">
        <v>4209</v>
      </c>
      <c r="CR45" s="15">
        <v>10000</v>
      </c>
      <c r="CS45" s="15">
        <v>9500</v>
      </c>
      <c r="CT45" s="15">
        <v>500.00000000000045</v>
      </c>
      <c r="CU45" s="15">
        <v>1380</v>
      </c>
      <c r="CV45" s="15">
        <v>10408.26537122706</v>
      </c>
      <c r="CW45" s="15">
        <v>31306</v>
      </c>
      <c r="CX45" s="15">
        <v>1936</v>
      </c>
      <c r="CY45" s="15">
        <v>0</v>
      </c>
      <c r="CZ45" s="15">
        <v>1148</v>
      </c>
      <c r="DA45" s="19">
        <v>0</v>
      </c>
      <c r="DB45" s="19">
        <v>0</v>
      </c>
      <c r="DC45" s="19">
        <v>3.4092800767977605E-2</v>
      </c>
      <c r="DD45" s="19">
        <v>7.8597451371575255E-2</v>
      </c>
      <c r="DE45" s="19">
        <v>0.2731884907834331</v>
      </c>
      <c r="DF45" s="19">
        <v>0.32280224079898567</v>
      </c>
      <c r="DG45" s="19">
        <v>0.29131901627802825</v>
      </c>
      <c r="DH45" s="15">
        <v>1503.9999999999991</v>
      </c>
      <c r="DI45" s="15">
        <v>328862.78239623789</v>
      </c>
      <c r="DJ45" s="15">
        <v>258763.78239623789</v>
      </c>
      <c r="DK45" s="15">
        <v>343835</v>
      </c>
      <c r="DL45" s="18">
        <v>8.1629269853272651E-2</v>
      </c>
      <c r="DM45" s="15">
        <v>231798.78209590973</v>
      </c>
      <c r="DN45" s="15">
        <v>189180.95385233042</v>
      </c>
      <c r="DO45" s="15">
        <v>29056.062760480731</v>
      </c>
      <c r="DP45" s="15">
        <v>2049.07299631058</v>
      </c>
      <c r="DQ45" s="15">
        <v>6680.3705600996054</v>
      </c>
      <c r="DR45" s="15">
        <v>4832.3219266883862</v>
      </c>
      <c r="DS45" s="15">
        <v>235828.78209590973</v>
      </c>
      <c r="DT45" s="18">
        <f t="shared" si="4"/>
        <v>0.15866560396105109</v>
      </c>
      <c r="DU45" s="18">
        <f t="shared" si="5"/>
        <v>0.18443491923845137</v>
      </c>
      <c r="DV45" s="18">
        <f t="shared" si="6"/>
        <v>6.0139566812554397E-2</v>
      </c>
      <c r="DW45" s="18">
        <f t="shared" si="7"/>
        <v>-3.6730270561629266E-2</v>
      </c>
      <c r="DX45" s="18">
        <f t="shared" si="8"/>
        <v>0.10494976391941736</v>
      </c>
      <c r="DY45" s="18">
        <f t="shared" si="9"/>
        <v>0.28772304777801916</v>
      </c>
      <c r="DZ45" s="18">
        <f t="shared" si="10"/>
        <v>-5.8673501424857041E-2</v>
      </c>
      <c r="EA45" s="18">
        <f t="shared" si="11"/>
        <v>0.2068689868055599</v>
      </c>
      <c r="EB45" s="18">
        <f t="shared" si="12"/>
        <v>9.2621883471432853E-2</v>
      </c>
      <c r="EC45" s="18">
        <f t="shared" si="13"/>
        <v>0.6652204501801845</v>
      </c>
      <c r="ED45" s="18">
        <f t="shared" si="14"/>
        <v>0.1031556049437348</v>
      </c>
      <c r="EE45" s="18">
        <f t="shared" si="15"/>
        <v>3.4212736756962167E-2</v>
      </c>
      <c r="EF45" s="18">
        <f t="shared" si="16"/>
        <v>1.3725954766588373E-2</v>
      </c>
      <c r="EG45" s="18">
        <f t="shared" si="17"/>
        <v>0.11809510615001254</v>
      </c>
      <c r="EH45" s="18">
        <f t="shared" si="18"/>
        <v>2.1195070366559692E-2</v>
      </c>
      <c r="EI45" s="18">
        <f t="shared" si="19"/>
        <v>3.5514182554456306E-2</v>
      </c>
      <c r="EJ45" s="18">
        <f t="shared" si="20"/>
        <v>1.5379886279212135E-2</v>
      </c>
      <c r="EK45" s="18">
        <f t="shared" si="21"/>
        <v>-8.6727645527651352E-3</v>
      </c>
      <c r="EL45" s="18">
        <f t="shared" si="22"/>
        <v>-9.2253551848997337E-3</v>
      </c>
      <c r="EM45" s="6">
        <v>7.6085986313597145</v>
      </c>
      <c r="EN45" s="6">
        <v>7.9924999999999997</v>
      </c>
      <c r="EO45" s="6">
        <v>8.6155172545522269</v>
      </c>
      <c r="EP45" s="6">
        <v>7.3765360705508165</v>
      </c>
      <c r="EQ45" s="14">
        <v>103610.8</v>
      </c>
      <c r="ER45" s="14"/>
      <c r="ES45" s="15">
        <v>159565</v>
      </c>
      <c r="ET45" s="15">
        <v>64273.150689587965</v>
      </c>
      <c r="EU45" s="15">
        <v>0.75</v>
      </c>
      <c r="EX45" s="16"/>
      <c r="EY45" s="16"/>
      <c r="FA45" s="17"/>
      <c r="FB45" s="17"/>
      <c r="FC45" s="17"/>
      <c r="GJ45" s="6">
        <v>0.20554854171232942</v>
      </c>
    </row>
    <row r="46" spans="1:192" ht="15">
      <c r="A46" s="12">
        <v>1954</v>
      </c>
      <c r="B46" s="13"/>
      <c r="C46" s="15">
        <f t="shared" si="0"/>
        <v>1111997.6524345365</v>
      </c>
      <c r="D46" s="15">
        <v>188264.89057639922</v>
      </c>
      <c r="E46" s="15">
        <v>14628.560650476442</v>
      </c>
      <c r="F46" s="15">
        <v>180405.38572513725</v>
      </c>
      <c r="G46" s="15">
        <v>687.00000000000023</v>
      </c>
      <c r="H46" s="15">
        <v>11480.499999999871</v>
      </c>
      <c r="I46" s="15">
        <v>218923.99999999997</v>
      </c>
      <c r="L46" s="15">
        <v>0</v>
      </c>
      <c r="M46" s="15">
        <v>113095.49999999999</v>
      </c>
      <c r="N46" s="15">
        <v>-70646.999999999985</v>
      </c>
      <c r="O46" s="15">
        <v>-19583</v>
      </c>
      <c r="P46" s="15">
        <v>326304.49999999994</v>
      </c>
      <c r="Q46" s="15">
        <v>0</v>
      </c>
      <c r="R46" s="15">
        <v>106186.5</v>
      </c>
      <c r="S46" s="15">
        <v>5.5793344728378845E-2</v>
      </c>
      <c r="T46" s="15">
        <v>-42684</v>
      </c>
      <c r="U46" s="15">
        <v>65351.815482523802</v>
      </c>
      <c r="V46" s="15">
        <v>699.54999999999984</v>
      </c>
      <c r="W46" s="15">
        <v>493.1048420674573</v>
      </c>
      <c r="X46" s="15">
        <v>90.125733144300582</v>
      </c>
      <c r="Y46" s="15">
        <v>82.461428975567344</v>
      </c>
      <c r="Z46" s="15">
        <v>82.461428975567344</v>
      </c>
      <c r="AA46" s="15">
        <v>348082.61257285537</v>
      </c>
      <c r="AB46" s="15">
        <v>17348</v>
      </c>
      <c r="AC46" s="15">
        <v>11174.5</v>
      </c>
      <c r="AD46" s="15">
        <v>4321.5537178689547</v>
      </c>
      <c r="AE46" s="15">
        <v>-73.540178275559356</v>
      </c>
      <c r="AF46" s="15">
        <v>4098</v>
      </c>
      <c r="AG46" s="15">
        <v>5574.9999999999991</v>
      </c>
      <c r="AH46" s="15">
        <v>85779.126112448794</v>
      </c>
      <c r="AI46" s="15">
        <v>18324</v>
      </c>
      <c r="AJ46" s="15">
        <v>13312.142555883591</v>
      </c>
      <c r="AK46" s="15">
        <v>5011.8574441164083</v>
      </c>
      <c r="AL46" s="15">
        <f t="shared" si="1"/>
        <v>39343.556166964147</v>
      </c>
      <c r="AM46" s="15">
        <v>39343.556166964147</v>
      </c>
      <c r="AN46" s="15">
        <v>0</v>
      </c>
      <c r="AO46" s="15">
        <v>12543.020714317745</v>
      </c>
      <c r="AP46" s="15">
        <v>12297.333723653397</v>
      </c>
      <c r="AQ46" s="15"/>
      <c r="AR46" s="15"/>
      <c r="AS46" s="15">
        <v>5852.2019679201076</v>
      </c>
      <c r="AT46" s="15">
        <v>1238.10073029304</v>
      </c>
      <c r="AU46" s="15">
        <f t="shared" si="2"/>
        <v>4614.1012376270673</v>
      </c>
      <c r="AV46" s="15">
        <v>-3437.0000000000005</v>
      </c>
      <c r="AW46" s="15">
        <v>-3392.0000000000005</v>
      </c>
      <c r="AX46" s="15">
        <v>262303.48646040657</v>
      </c>
      <c r="AY46" s="15">
        <v>214139</v>
      </c>
      <c r="AZ46" s="15">
        <v>33523.500000000007</v>
      </c>
      <c r="BA46" s="15"/>
      <c r="BB46" s="15"/>
      <c r="BC46" s="15">
        <v>14894.446282131046</v>
      </c>
      <c r="BD46" s="15">
        <v>-253.45982172444064</v>
      </c>
      <c r="BE46" s="15">
        <f t="shared" si="3"/>
        <v>19216</v>
      </c>
      <c r="BF46" s="15">
        <v>197263.00000000003</v>
      </c>
      <c r="BG46" s="15">
        <v>16875.999999999978</v>
      </c>
      <c r="BH46" s="15">
        <v>4879</v>
      </c>
      <c r="BI46" s="15">
        <v>0</v>
      </c>
      <c r="BJ46" s="15">
        <v>0</v>
      </c>
      <c r="BK46" s="15">
        <v>1497</v>
      </c>
      <c r="BL46" s="15">
        <v>223</v>
      </c>
      <c r="BM46" s="15">
        <v>0</v>
      </c>
      <c r="BN46" s="15">
        <v>0</v>
      </c>
      <c r="BO46" s="15">
        <v>337121.358225715</v>
      </c>
      <c r="BP46" s="15">
        <v>16599</v>
      </c>
      <c r="BQ46" s="15">
        <v>1751.2543471404497</v>
      </c>
      <c r="BR46" s="15">
        <v>5005</v>
      </c>
      <c r="BS46" s="15">
        <v>2383.9999999999995</v>
      </c>
      <c r="BT46" s="15">
        <v>4258.9999999999991</v>
      </c>
      <c r="BU46" s="15">
        <v>2324</v>
      </c>
      <c r="BV46" s="15">
        <v>1665</v>
      </c>
      <c r="BW46" s="15">
        <v>0</v>
      </c>
      <c r="BX46" s="15">
        <v>194.00000000000017</v>
      </c>
      <c r="BY46" s="15">
        <v>4057.0000000000005</v>
      </c>
      <c r="BZ46" s="15">
        <v>2656.0000000000005</v>
      </c>
      <c r="CA46" s="15">
        <v>573</v>
      </c>
      <c r="CB46" s="15">
        <v>224</v>
      </c>
      <c r="CC46" s="15">
        <v>0</v>
      </c>
      <c r="CD46" s="15">
        <v>0</v>
      </c>
      <c r="CE46" s="15">
        <v>0</v>
      </c>
      <c r="CF46" s="15">
        <v>167.99999999999997</v>
      </c>
      <c r="CG46" s="15">
        <v>167.99999999999997</v>
      </c>
      <c r="CH46" s="15">
        <v>67071</v>
      </c>
      <c r="CI46" s="15"/>
      <c r="CJ46" s="15">
        <v>643.38742714461273</v>
      </c>
      <c r="CK46" s="15">
        <v>4971.0000000000009</v>
      </c>
      <c r="CL46" s="15">
        <v>85633.999999999985</v>
      </c>
      <c r="CM46" s="15">
        <v>73952</v>
      </c>
      <c r="CN46" s="15">
        <v>4488.9999999999882</v>
      </c>
      <c r="CO46" s="15">
        <v>16.000000000000458</v>
      </c>
      <c r="CP46" s="15">
        <v>9193.9999999999982</v>
      </c>
      <c r="CQ46" s="15">
        <v>4612</v>
      </c>
      <c r="CR46" s="15">
        <v>10000</v>
      </c>
      <c r="CS46" s="15">
        <v>9500</v>
      </c>
      <c r="CT46" s="15">
        <v>500.00000000000045</v>
      </c>
      <c r="CU46" s="15">
        <v>1518</v>
      </c>
      <c r="CV46" s="15">
        <v>10101.397339642255</v>
      </c>
      <c r="CW46" s="15">
        <v>28068</v>
      </c>
      <c r="CX46" s="15">
        <v>2092</v>
      </c>
      <c r="CY46" s="15">
        <v>0</v>
      </c>
      <c r="CZ46" s="15">
        <v>1163</v>
      </c>
      <c r="DA46" s="19">
        <v>0</v>
      </c>
      <c r="DB46" s="19">
        <v>0</v>
      </c>
      <c r="DC46" s="19">
        <v>4.032487169539356E-2</v>
      </c>
      <c r="DD46" s="19">
        <v>8.2665519725115155E-2</v>
      </c>
      <c r="DE46" s="19">
        <v>0.27379461267830651</v>
      </c>
      <c r="DF46" s="19">
        <v>0.31622384369678092</v>
      </c>
      <c r="DG46" s="19">
        <v>0.28699115220440374</v>
      </c>
      <c r="DH46" s="15">
        <v>1475.0000000000016</v>
      </c>
      <c r="DI46" s="15">
        <v>332365.358225715</v>
      </c>
      <c r="DJ46" s="15">
        <v>265294.358225715</v>
      </c>
      <c r="DK46" s="15">
        <v>343755</v>
      </c>
      <c r="DL46" s="18">
        <v>9.1604485752934506E-2</v>
      </c>
      <c r="DM46" s="15">
        <v>232475.34220119246</v>
      </c>
      <c r="DN46" s="15">
        <v>188291.42658347296</v>
      </c>
      <c r="DO46" s="15">
        <v>30584.277005701289</v>
      </c>
      <c r="DP46" s="15">
        <v>2375.4564657942792</v>
      </c>
      <c r="DQ46" s="15">
        <v>7417.4379871156061</v>
      </c>
      <c r="DR46" s="15">
        <v>3806.7441591083007</v>
      </c>
      <c r="DS46" s="15">
        <v>239088.34220119246</v>
      </c>
      <c r="DT46" s="18">
        <f t="shared" si="4"/>
        <v>0.1693033165710594</v>
      </c>
      <c r="DU46" s="18">
        <f t="shared" si="5"/>
        <v>0.18633262931983713</v>
      </c>
      <c r="DV46" s="18">
        <f t="shared" si="6"/>
        <v>5.8769742309659305E-2</v>
      </c>
      <c r="DW46" s="18">
        <f t="shared" si="7"/>
        <v>-3.8384973121616206E-2</v>
      </c>
      <c r="DX46" s="18">
        <f t="shared" si="8"/>
        <v>0.10170480104197696</v>
      </c>
      <c r="DY46" s="18">
        <f t="shared" si="9"/>
        <v>0.29343991804803704</v>
      </c>
      <c r="DZ46" s="18">
        <f t="shared" si="10"/>
        <v>-6.3531608942995491E-2</v>
      </c>
      <c r="EA46" s="18">
        <f t="shared" si="11"/>
        <v>0.19687451634515754</v>
      </c>
      <c r="EB46" s="18">
        <f t="shared" si="12"/>
        <v>9.5491658428884338E-2</v>
      </c>
      <c r="EC46" s="18">
        <f t="shared" si="13"/>
        <v>0.66040447355480192</v>
      </c>
      <c r="ED46" s="18">
        <f t="shared" si="14"/>
        <v>0.10338644230716686</v>
      </c>
      <c r="EE46" s="18">
        <f t="shared" si="15"/>
        <v>3.8725669607376154E-2</v>
      </c>
      <c r="EF46" s="18">
        <f t="shared" si="16"/>
        <v>1.4579736859438868E-2</v>
      </c>
      <c r="EG46" s="18">
        <f t="shared" si="17"/>
        <v>0.11445231681565111</v>
      </c>
      <c r="EH46" s="18">
        <f t="shared" si="18"/>
        <v>2.389902151666843E-2</v>
      </c>
      <c r="EI46" s="18">
        <f t="shared" si="19"/>
        <v>3.5773541399116801E-2</v>
      </c>
      <c r="EJ46" s="18">
        <f t="shared" si="20"/>
        <v>1.7024339916277893E-2</v>
      </c>
      <c r="EK46" s="18">
        <f t="shared" si="21"/>
        <v>-9.9984000232723903E-3</v>
      </c>
      <c r="EL46" s="18">
        <f t="shared" si="22"/>
        <v>-9.8674928364678345E-3</v>
      </c>
      <c r="EM46" s="6">
        <v>7.5318459612694211</v>
      </c>
      <c r="EN46" s="6">
        <v>7.9060278207109738</v>
      </c>
      <c r="EO46" s="6">
        <v>8.5727072309271222</v>
      </c>
      <c r="EP46" s="6">
        <v>7.315197132616488</v>
      </c>
      <c r="EQ46" s="14">
        <v>104623.1</v>
      </c>
      <c r="ER46" s="14"/>
      <c r="ES46" s="15">
        <v>162391</v>
      </c>
      <c r="ET46" s="15">
        <v>64928.229507237309</v>
      </c>
      <c r="EU46" s="15">
        <v>0.75</v>
      </c>
      <c r="EX46" s="16"/>
      <c r="EY46" s="16"/>
      <c r="FA46" s="17"/>
      <c r="FB46" s="17"/>
      <c r="FC46" s="17"/>
      <c r="GJ46" s="6">
        <v>0.21939692219694329</v>
      </c>
    </row>
    <row r="47" spans="1:192" ht="15">
      <c r="A47" s="12">
        <v>1955</v>
      </c>
      <c r="B47" s="13"/>
      <c r="C47" s="15">
        <f t="shared" si="0"/>
        <v>1194367.8096737841</v>
      </c>
      <c r="D47" s="15">
        <v>230099.84873223276</v>
      </c>
      <c r="E47" s="15">
        <v>17227.548484647963</v>
      </c>
      <c r="F47" s="15">
        <v>190498.31180254387</v>
      </c>
      <c r="G47" s="15">
        <v>830.50000000000068</v>
      </c>
      <c r="H47" s="15">
        <v>11920.499999999918</v>
      </c>
      <c r="I47" s="15">
        <v>222406.99999999997</v>
      </c>
      <c r="L47" s="15">
        <v>0</v>
      </c>
      <c r="M47" s="15">
        <v>116406.5</v>
      </c>
      <c r="N47" s="15">
        <v>-81646</v>
      </c>
      <c r="O47" s="15">
        <v>-20848.999999999996</v>
      </c>
      <c r="P47" s="15">
        <v>352468.49999999994</v>
      </c>
      <c r="Q47" s="15">
        <v>0</v>
      </c>
      <c r="R47" s="15">
        <v>115721.49999999999</v>
      </c>
      <c r="S47" s="15">
        <v>7.2367710408178271E-2</v>
      </c>
      <c r="T47" s="15">
        <v>-48484.5</v>
      </c>
      <c r="U47" s="15">
        <v>66918.100654359747</v>
      </c>
      <c r="V47" s="15">
        <v>1013.2397610746193</v>
      </c>
      <c r="W47" s="15">
        <v>601.28902846471476</v>
      </c>
      <c r="X47" s="15">
        <v>101.51438211237206</v>
      </c>
      <c r="Y47" s="15">
        <v>104.73244584653692</v>
      </c>
      <c r="Z47" s="15">
        <v>104.73244584653692</v>
      </c>
      <c r="AA47" s="15">
        <v>381179.03062127205</v>
      </c>
      <c r="AB47" s="15">
        <v>21789</v>
      </c>
      <c r="AC47" s="15">
        <v>11659.749999999998</v>
      </c>
      <c r="AD47" s="15">
        <v>5067.6057497205975</v>
      </c>
      <c r="AE47" s="15">
        <v>-48.460381354671497</v>
      </c>
      <c r="AF47" s="15">
        <v>4562</v>
      </c>
      <c r="AG47" s="15">
        <v>5886</v>
      </c>
      <c r="AH47" s="15">
        <v>99829.925989637995</v>
      </c>
      <c r="AI47" s="15">
        <v>19679.000000000004</v>
      </c>
      <c r="AJ47" s="15">
        <v>14451.053714361316</v>
      </c>
      <c r="AK47" s="15">
        <v>5227.9462856386854</v>
      </c>
      <c r="AL47" s="15">
        <f t="shared" si="1"/>
        <v>49609.047800977394</v>
      </c>
      <c r="AM47" s="15">
        <v>49609.047800977394</v>
      </c>
      <c r="AN47" s="15">
        <v>0</v>
      </c>
      <c r="AO47" s="15">
        <v>13634.000936398766</v>
      </c>
      <c r="AP47" s="15">
        <v>12836.671438712729</v>
      </c>
      <c r="AQ47" s="15"/>
      <c r="AR47" s="15"/>
      <c r="AS47" s="15">
        <v>6898.0604451831705</v>
      </c>
      <c r="AT47" s="15">
        <v>1805.5247454453813</v>
      </c>
      <c r="AU47" s="15">
        <f t="shared" si="2"/>
        <v>5092.5356997377894</v>
      </c>
      <c r="AV47" s="15">
        <v>-3885.0000000000005</v>
      </c>
      <c r="AW47" s="15">
        <v>-3961</v>
      </c>
      <c r="AX47" s="15">
        <v>281349.10463163402</v>
      </c>
      <c r="AY47" s="15">
        <v>230570.99999999997</v>
      </c>
      <c r="AZ47" s="15">
        <v>34979.249999999993</v>
      </c>
      <c r="BA47" s="15"/>
      <c r="BB47" s="15"/>
      <c r="BC47" s="15">
        <v>15951.394250279398</v>
      </c>
      <c r="BD47" s="15">
        <v>-152.53961864532852</v>
      </c>
      <c r="BE47" s="15">
        <f t="shared" si="3"/>
        <v>21018.999999999996</v>
      </c>
      <c r="BF47" s="15">
        <v>212151.00000000003</v>
      </c>
      <c r="BG47" s="15">
        <v>18419.99999999996</v>
      </c>
      <c r="BH47" s="15">
        <v>5604</v>
      </c>
      <c r="BI47" s="15">
        <v>0</v>
      </c>
      <c r="BJ47" s="15">
        <v>0</v>
      </c>
      <c r="BK47" s="15">
        <v>1683</v>
      </c>
      <c r="BL47" s="15">
        <v>298</v>
      </c>
      <c r="BM47" s="15">
        <v>0</v>
      </c>
      <c r="BN47" s="15">
        <v>0</v>
      </c>
      <c r="BO47" s="15">
        <v>368702.3005475984</v>
      </c>
      <c r="BP47" s="15">
        <v>18321.84210526316</v>
      </c>
      <c r="BQ47" s="15">
        <v>2220.8879684104681</v>
      </c>
      <c r="BR47" s="15">
        <v>6404.9999999999991</v>
      </c>
      <c r="BS47" s="15">
        <v>1660.9999999999995</v>
      </c>
      <c r="BT47" s="15">
        <v>5595.9999999999991</v>
      </c>
      <c r="BU47" s="15">
        <v>1598</v>
      </c>
      <c r="BV47" s="15">
        <v>1670</v>
      </c>
      <c r="BW47" s="15">
        <v>0</v>
      </c>
      <c r="BX47" s="15">
        <v>192.99999999999972</v>
      </c>
      <c r="BY47" s="15">
        <v>4366</v>
      </c>
      <c r="BZ47" s="15">
        <v>2791</v>
      </c>
      <c r="CA47" s="15">
        <v>613</v>
      </c>
      <c r="CB47" s="15">
        <v>315</v>
      </c>
      <c r="CC47" s="15">
        <v>0</v>
      </c>
      <c r="CD47" s="15">
        <v>0</v>
      </c>
      <c r="CE47" s="15">
        <v>0</v>
      </c>
      <c r="CF47" s="15">
        <v>157</v>
      </c>
      <c r="CG47" s="15">
        <v>157</v>
      </c>
      <c r="CH47" s="15">
        <v>68600</v>
      </c>
      <c r="CI47" s="15"/>
      <c r="CJ47" s="15">
        <v>779.96937872794081</v>
      </c>
      <c r="CK47" s="15">
        <v>5051.9999999999991</v>
      </c>
      <c r="CL47" s="15">
        <v>96458.999999999985</v>
      </c>
      <c r="CM47" s="15">
        <v>75913.999999999985</v>
      </c>
      <c r="CN47" s="15">
        <v>12904.000000000011</v>
      </c>
      <c r="CO47" s="15">
        <v>391.00000000000045</v>
      </c>
      <c r="CP47" s="15">
        <v>9864.8421052631602</v>
      </c>
      <c r="CQ47" s="15">
        <v>5174</v>
      </c>
      <c r="CR47" s="15">
        <v>10736.84210526316</v>
      </c>
      <c r="CS47" s="15">
        <v>10200.000000000002</v>
      </c>
      <c r="CT47" s="15">
        <v>536.84210526315849</v>
      </c>
      <c r="CU47" s="15">
        <v>1770</v>
      </c>
      <c r="CV47" s="15">
        <v>10334.278894299367</v>
      </c>
      <c r="CW47" s="15">
        <v>30470</v>
      </c>
      <c r="CX47" s="15">
        <v>2389</v>
      </c>
      <c r="CY47" s="15">
        <v>0</v>
      </c>
      <c r="CZ47" s="15">
        <v>1253</v>
      </c>
      <c r="DA47" s="19">
        <v>0</v>
      </c>
      <c r="DB47" s="19">
        <v>0</v>
      </c>
      <c r="DC47" s="19">
        <v>4.6556942622809405E-2</v>
      </c>
      <c r="DD47" s="19">
        <v>8.6733588078655277E-2</v>
      </c>
      <c r="DE47" s="19">
        <v>0.27440073457317982</v>
      </c>
      <c r="DF47" s="19">
        <v>0.30964544659457621</v>
      </c>
      <c r="DG47" s="19">
        <v>0.28266328813077918</v>
      </c>
      <c r="DH47" s="15">
        <v>1505.9999999999991</v>
      </c>
      <c r="DI47" s="15">
        <v>355943.3005475984</v>
      </c>
      <c r="DJ47" s="15">
        <v>287343.3005475984</v>
      </c>
      <c r="DK47" s="15">
        <v>376906.99999999994</v>
      </c>
      <c r="DL47" s="18">
        <v>9.3747263913909806E-2</v>
      </c>
      <c r="DM47" s="15">
        <v>250047.26333479164</v>
      </c>
      <c r="DN47" s="15">
        <v>203141.75094349866</v>
      </c>
      <c r="DO47" s="15">
        <v>32399.843081898525</v>
      </c>
      <c r="DP47" s="15">
        <v>2592.2417706965443</v>
      </c>
      <c r="DQ47" s="15">
        <v>8269.8431303504258</v>
      </c>
      <c r="DR47" s="15">
        <v>3643.5844083474644</v>
      </c>
      <c r="DS47" s="15">
        <v>259426.26333479164</v>
      </c>
      <c r="DT47" s="18">
        <f t="shared" si="4"/>
        <v>0.19265409438243283</v>
      </c>
      <c r="DU47" s="18">
        <f t="shared" si="5"/>
        <v>0.1845971220100199</v>
      </c>
      <c r="DV47" s="18">
        <f t="shared" si="6"/>
        <v>5.6028051084729913E-2</v>
      </c>
      <c r="DW47" s="18">
        <f t="shared" si="7"/>
        <v>-4.059427892086484E-2</v>
      </c>
      <c r="DX47" s="18">
        <f t="shared" si="8"/>
        <v>9.7462857804074557E-2</v>
      </c>
      <c r="DY47" s="18">
        <f t="shared" si="9"/>
        <v>0.29510884096605816</v>
      </c>
      <c r="DZ47" s="18">
        <f t="shared" si="10"/>
        <v>-6.8359176577523342E-2</v>
      </c>
      <c r="EA47" s="18">
        <f t="shared" si="11"/>
        <v>0.18621315661608936</v>
      </c>
      <c r="EB47" s="18">
        <f t="shared" si="12"/>
        <v>9.6889332634983547E-2</v>
      </c>
      <c r="EC47" s="18">
        <f t="shared" si="13"/>
        <v>0.64849211680394092</v>
      </c>
      <c r="ED47" s="18">
        <f t="shared" si="14"/>
        <v>9.8380836604404928E-2</v>
      </c>
      <c r="EE47" s="18">
        <f t="shared" si="15"/>
        <v>3.834116563067632E-2</v>
      </c>
      <c r="EF47" s="18">
        <f t="shared" si="16"/>
        <v>1.3870653199963615E-2</v>
      </c>
      <c r="EG47" s="18">
        <f t="shared" si="17"/>
        <v>0.13162145516261944</v>
      </c>
      <c r="EH47" s="18">
        <f t="shared" si="18"/>
        <v>2.483893988471084E-2</v>
      </c>
      <c r="EI47" s="18">
        <f t="shared" si="19"/>
        <v>3.4057927920449156E-2</v>
      </c>
      <c r="EJ47" s="18">
        <f t="shared" si="20"/>
        <v>1.8301757317277661E-2</v>
      </c>
      <c r="EK47" s="18">
        <f t="shared" si="21"/>
        <v>-1.0307582507090612E-2</v>
      </c>
      <c r="EL47" s="18">
        <f t="shared" si="22"/>
        <v>-1.0509223760768573E-2</v>
      </c>
      <c r="EM47" s="6">
        <v>7.4268496333405949</v>
      </c>
      <c r="EN47" s="6">
        <v>7.7969666946116911</v>
      </c>
      <c r="EO47" s="6">
        <v>8.6047747143345816</v>
      </c>
      <c r="EP47" s="6">
        <v>7.2864691181720804</v>
      </c>
      <c r="EQ47" s="14">
        <v>105602.7</v>
      </c>
      <c r="ER47" s="14"/>
      <c r="ES47" s="15">
        <v>165275</v>
      </c>
      <c r="ET47" s="15">
        <v>65589.450007413092</v>
      </c>
      <c r="EU47" s="15">
        <v>0.75</v>
      </c>
      <c r="EX47" s="16"/>
      <c r="EY47" s="16"/>
      <c r="FA47" s="17"/>
      <c r="FB47" s="17"/>
      <c r="FC47" s="17"/>
      <c r="GJ47" s="6">
        <v>0.19477929095089352</v>
      </c>
    </row>
    <row r="48" spans="1:192" ht="15">
      <c r="A48" s="12">
        <v>1956</v>
      </c>
      <c r="B48" s="13"/>
      <c r="C48" s="15">
        <f t="shared" si="0"/>
        <v>1277338.9409592005</v>
      </c>
      <c r="D48" s="15">
        <v>260970.3118993208</v>
      </c>
      <c r="E48" s="15">
        <v>20137.865742456324</v>
      </c>
      <c r="F48" s="15">
        <v>203272.95140594832</v>
      </c>
      <c r="G48" s="15">
        <v>1035.5000000000002</v>
      </c>
      <c r="H48" s="15">
        <v>12360.499999999938</v>
      </c>
      <c r="I48" s="15">
        <v>232658.00000000003</v>
      </c>
      <c r="L48" s="15">
        <v>0</v>
      </c>
      <c r="M48" s="15">
        <v>119655.99999999999</v>
      </c>
      <c r="N48" s="15">
        <v>-93340.5</v>
      </c>
      <c r="O48" s="15">
        <v>-22274.5</v>
      </c>
      <c r="P48" s="15">
        <v>380823</v>
      </c>
      <c r="Q48" s="15">
        <v>0</v>
      </c>
      <c r="R48" s="15">
        <v>126101.5</v>
      </c>
      <c r="S48" s="15">
        <v>8.334159387477548E-2</v>
      </c>
      <c r="T48" s="15">
        <v>-54703.5</v>
      </c>
      <c r="U48" s="15">
        <v>68367.311911475234</v>
      </c>
      <c r="V48" s="15">
        <v>1018.3</v>
      </c>
      <c r="W48" s="15">
        <v>673.57691194591769</v>
      </c>
      <c r="X48" s="15">
        <v>105.98345226616077</v>
      </c>
      <c r="Y48" s="15">
        <v>121.17938692244856</v>
      </c>
      <c r="Z48" s="15">
        <v>121.17938692244856</v>
      </c>
      <c r="AA48" s="15">
        <v>404614.08521516901</v>
      </c>
      <c r="AB48" s="15">
        <v>21591</v>
      </c>
      <c r="AC48" s="15">
        <v>12049.75</v>
      </c>
      <c r="AD48" s="15">
        <v>5261.0366950284961</v>
      </c>
      <c r="AE48" s="15">
        <v>-171.33467467131061</v>
      </c>
      <c r="AF48" s="15">
        <v>5056.0000000000009</v>
      </c>
      <c r="AG48" s="15">
        <v>6396.9999999999982</v>
      </c>
      <c r="AH48" s="15">
        <v>102237.53723552615</v>
      </c>
      <c r="AI48" s="15">
        <v>21053</v>
      </c>
      <c r="AJ48" s="15">
        <v>15601.882540476336</v>
      </c>
      <c r="AK48" s="15">
        <v>5451.1174595236644</v>
      </c>
      <c r="AL48" s="15">
        <f t="shared" si="1"/>
        <v>48951.83023474073</v>
      </c>
      <c r="AM48" s="15">
        <v>48951.83023474073</v>
      </c>
      <c r="AN48" s="15">
        <v>0</v>
      </c>
      <c r="AO48" s="15">
        <v>15178.385660811031</v>
      </c>
      <c r="AP48" s="15">
        <v>13297.110231164383</v>
      </c>
      <c r="AQ48" s="15"/>
      <c r="AR48" s="15"/>
      <c r="AS48" s="15">
        <v>7720.5090884528172</v>
      </c>
      <c r="AT48" s="15">
        <v>1971.3325094636816</v>
      </c>
      <c r="AU48" s="15">
        <f t="shared" si="2"/>
        <v>5749.176578989136</v>
      </c>
      <c r="AV48" s="15">
        <v>-4515</v>
      </c>
      <c r="AW48" s="15">
        <v>-4538</v>
      </c>
      <c r="AX48" s="15">
        <v>302376.54797964281</v>
      </c>
      <c r="AY48" s="15">
        <v>249274.99999999997</v>
      </c>
      <c r="AZ48" s="15">
        <v>36149.249999999993</v>
      </c>
      <c r="BA48" s="15"/>
      <c r="BB48" s="15"/>
      <c r="BC48" s="15">
        <v>17522.963304971516</v>
      </c>
      <c r="BD48" s="15">
        <v>-570.66532532868939</v>
      </c>
      <c r="BE48" s="15">
        <f t="shared" si="3"/>
        <v>22784.000000000011</v>
      </c>
      <c r="BF48" s="15">
        <v>229026.00000000006</v>
      </c>
      <c r="BG48" s="15">
        <v>20248.999999999938</v>
      </c>
      <c r="BH48" s="15">
        <v>6020</v>
      </c>
      <c r="BI48" s="15">
        <v>0</v>
      </c>
      <c r="BJ48" s="15">
        <v>0</v>
      </c>
      <c r="BK48" s="15">
        <v>2062</v>
      </c>
      <c r="BL48" s="15">
        <v>468</v>
      </c>
      <c r="BM48" s="15">
        <v>0</v>
      </c>
      <c r="BN48" s="15">
        <v>0</v>
      </c>
      <c r="BO48" s="15">
        <v>390873.4999319262</v>
      </c>
      <c r="BP48" s="15">
        <v>20023.684210526313</v>
      </c>
      <c r="BQ48" s="15">
        <v>2644.901072716516</v>
      </c>
      <c r="BR48" s="15">
        <v>7279</v>
      </c>
      <c r="BS48" s="15">
        <v>1648.9999999999991</v>
      </c>
      <c r="BT48" s="15">
        <v>6412</v>
      </c>
      <c r="BU48" s="15">
        <v>1575</v>
      </c>
      <c r="BV48" s="15">
        <v>1734</v>
      </c>
      <c r="BW48" s="15">
        <v>0</v>
      </c>
      <c r="BX48" s="15">
        <v>204.00000000000028</v>
      </c>
      <c r="BY48" s="15">
        <v>4329</v>
      </c>
      <c r="BZ48" s="15">
        <v>2807</v>
      </c>
      <c r="CA48" s="15">
        <v>633</v>
      </c>
      <c r="CB48" s="15">
        <v>236.00000000000003</v>
      </c>
      <c r="CC48" s="15">
        <v>0</v>
      </c>
      <c r="CD48" s="15">
        <v>0</v>
      </c>
      <c r="CE48" s="15">
        <v>0</v>
      </c>
      <c r="CF48" s="15">
        <v>163</v>
      </c>
      <c r="CG48" s="15">
        <v>163</v>
      </c>
      <c r="CH48" s="15">
        <v>71034</v>
      </c>
      <c r="CI48" s="15"/>
      <c r="CJ48" s="15">
        <v>857.91478483104572</v>
      </c>
      <c r="CK48" s="15">
        <v>5415.0000000000009</v>
      </c>
      <c r="CL48" s="15">
        <v>104010</v>
      </c>
      <c r="CM48" s="15">
        <v>78333.000000000015</v>
      </c>
      <c r="CN48" s="15">
        <v>16641.999999999996</v>
      </c>
      <c r="CO48" s="15">
        <v>563.00000000000057</v>
      </c>
      <c r="CP48" s="15">
        <v>10532.684210526315</v>
      </c>
      <c r="CQ48" s="15">
        <v>5668</v>
      </c>
      <c r="CR48" s="15">
        <v>11473.684210526315</v>
      </c>
      <c r="CS48" s="15">
        <v>10899.999999999998</v>
      </c>
      <c r="CT48" s="15">
        <v>573.68421052631629</v>
      </c>
      <c r="CU48" s="15">
        <v>2136</v>
      </c>
      <c r="CV48" s="15">
        <v>12494.358256034122</v>
      </c>
      <c r="CW48" s="15">
        <v>33913</v>
      </c>
      <c r="CX48" s="15">
        <v>2678</v>
      </c>
      <c r="CY48" s="15">
        <v>0</v>
      </c>
      <c r="CZ48" s="15">
        <v>1604</v>
      </c>
      <c r="DA48" s="19">
        <v>0</v>
      </c>
      <c r="DB48" s="19">
        <v>0</v>
      </c>
      <c r="DC48" s="19">
        <v>5.2789013550225361E-2</v>
      </c>
      <c r="DD48" s="19">
        <v>9.0801656432195288E-2</v>
      </c>
      <c r="DE48" s="19">
        <v>0.27500685646805323</v>
      </c>
      <c r="DF48" s="19">
        <v>0.3030670494923714</v>
      </c>
      <c r="DG48" s="19">
        <v>0.27833542405715461</v>
      </c>
      <c r="DH48" s="15">
        <v>1436.9999999999998</v>
      </c>
      <c r="DI48" s="15">
        <v>374488.4999319262</v>
      </c>
      <c r="DJ48" s="15">
        <v>303454.4999319262</v>
      </c>
      <c r="DK48" s="15">
        <v>400057</v>
      </c>
      <c r="DL48" s="18">
        <v>8.9923435910382751E-2</v>
      </c>
      <c r="DM48" s="15">
        <v>269693.19177813188</v>
      </c>
      <c r="DN48" s="15">
        <v>218502.83789746129</v>
      </c>
      <c r="DO48" s="15">
        <v>35282.547818959232</v>
      </c>
      <c r="DP48" s="15">
        <v>2886.0614776242405</v>
      </c>
      <c r="DQ48" s="15">
        <v>9080.5422459108377</v>
      </c>
      <c r="DR48" s="15">
        <v>3941.2023381762783</v>
      </c>
      <c r="DS48" s="15">
        <v>278560.19177813194</v>
      </c>
      <c r="DT48" s="18">
        <f t="shared" si="4"/>
        <v>0.20430780236242438</v>
      </c>
      <c r="DU48" s="18">
        <f t="shared" si="5"/>
        <v>0.18539074442573378</v>
      </c>
      <c r="DV48" s="18">
        <f t="shared" si="6"/>
        <v>5.3523234686743144E-2</v>
      </c>
      <c r="DW48" s="18">
        <f t="shared" si="7"/>
        <v>-4.282614288649271E-2</v>
      </c>
      <c r="DX48" s="18">
        <f t="shared" si="8"/>
        <v>9.3675997938453145E-2</v>
      </c>
      <c r="DY48" s="18">
        <f t="shared" si="9"/>
        <v>0.29813778300223598</v>
      </c>
      <c r="DZ48" s="18">
        <f t="shared" si="10"/>
        <v>-7.3074183372118295E-2</v>
      </c>
      <c r="EA48" s="18">
        <f t="shared" si="11"/>
        <v>0.18214272855823893</v>
      </c>
      <c r="EB48" s="18">
        <f t="shared" si="12"/>
        <v>9.8722035284781795E-2</v>
      </c>
      <c r="EC48" s="18">
        <f t="shared" si="13"/>
        <v>0.6613524160404094</v>
      </c>
      <c r="ED48" s="18">
        <f t="shared" si="14"/>
        <v>9.5907707654392813E-2</v>
      </c>
      <c r="EE48" s="18">
        <f t="shared" si="15"/>
        <v>3.8999148972462261E-2</v>
      </c>
      <c r="EF48" s="18">
        <f t="shared" si="16"/>
        <v>1.3625851964904161E-2</v>
      </c>
      <c r="EG48" s="18">
        <f t="shared" si="17"/>
        <v>0.12236213898204688</v>
      </c>
      <c r="EH48" s="18">
        <f t="shared" si="18"/>
        <v>2.6549467814941559E-2</v>
      </c>
      <c r="EI48" s="18">
        <f t="shared" si="19"/>
        <v>3.3238039157331034E-2</v>
      </c>
      <c r="EJ48" s="18">
        <f t="shared" si="20"/>
        <v>1.9298522681649909E-2</v>
      </c>
      <c r="EK48" s="18">
        <f t="shared" si="21"/>
        <v>-1.128589176042414E-2</v>
      </c>
      <c r="EL48" s="18">
        <f t="shared" si="22"/>
        <v>-1.1343383567841583E-2</v>
      </c>
      <c r="EM48" s="6">
        <v>7.181269306374614</v>
      </c>
      <c r="EN48" s="6">
        <v>7.5629481777186376</v>
      </c>
      <c r="EO48" s="6">
        <v>8.4779229986441429</v>
      </c>
      <c r="EP48" s="6">
        <v>7.1441472976757208</v>
      </c>
      <c r="EQ48" s="14">
        <v>106686.9</v>
      </c>
      <c r="ER48" s="14"/>
      <c r="ES48" s="15">
        <v>168221</v>
      </c>
      <c r="ET48" s="15">
        <v>66257.212286740687</v>
      </c>
      <c r="EU48" s="15">
        <v>1</v>
      </c>
      <c r="EX48" s="16"/>
      <c r="EY48" s="16"/>
      <c r="FA48" s="17"/>
      <c r="FB48" s="17"/>
      <c r="FC48" s="17"/>
      <c r="GJ48" s="6">
        <v>0.21138755716020224</v>
      </c>
    </row>
    <row r="49" spans="1:193" ht="15">
      <c r="A49" s="12">
        <v>1957</v>
      </c>
      <c r="B49" s="13"/>
      <c r="C49" s="15">
        <f t="shared" si="0"/>
        <v>1331557.6478515305</v>
      </c>
      <c r="D49" s="15">
        <v>261601.55646294908</v>
      </c>
      <c r="E49" s="15">
        <v>22430.917261116992</v>
      </c>
      <c r="F49" s="15">
        <v>217697.94726945533</v>
      </c>
      <c r="G49" s="15">
        <v>1231.0000000000002</v>
      </c>
      <c r="H49" s="15">
        <v>12729.499999999845</v>
      </c>
      <c r="I49" s="15">
        <v>245583.5</v>
      </c>
      <c r="L49" s="15">
        <v>0</v>
      </c>
      <c r="M49" s="15">
        <v>121418.5</v>
      </c>
      <c r="N49" s="15">
        <v>-103059.5</v>
      </c>
      <c r="O49" s="15">
        <v>-23416</v>
      </c>
      <c r="P49" s="15">
        <v>405712.5</v>
      </c>
      <c r="Q49" s="15">
        <v>0</v>
      </c>
      <c r="R49" s="15">
        <v>135518.50000000003</v>
      </c>
      <c r="S49" s="15">
        <v>8.2295037208941935E-2</v>
      </c>
      <c r="T49" s="15">
        <v>-58126</v>
      </c>
      <c r="U49" s="15">
        <v>68819.22685800925</v>
      </c>
      <c r="V49" s="15">
        <v>764.03325040604284</v>
      </c>
      <c r="W49" s="15">
        <v>697.41118962614269</v>
      </c>
      <c r="X49" s="15">
        <v>120.47349173578306</v>
      </c>
      <c r="Y49" s="15">
        <v>141.32754415162449</v>
      </c>
      <c r="Z49" s="15">
        <v>141.32754415162449</v>
      </c>
      <c r="AA49" s="15">
        <v>423483.9918501231</v>
      </c>
      <c r="AB49" s="15">
        <v>20880</v>
      </c>
      <c r="AC49" s="15">
        <v>12469</v>
      </c>
      <c r="AD49" s="15">
        <v>5445.9380611588422</v>
      </c>
      <c r="AE49" s="15">
        <v>-256.79184759577669</v>
      </c>
      <c r="AF49" s="15">
        <v>5590</v>
      </c>
      <c r="AG49" s="15">
        <v>7019</v>
      </c>
      <c r="AH49" s="15">
        <v>105815.13806368622</v>
      </c>
      <c r="AI49" s="15">
        <v>23103</v>
      </c>
      <c r="AJ49" s="15">
        <v>17074.295037971795</v>
      </c>
      <c r="AK49" s="15">
        <v>6028.7049620282087</v>
      </c>
      <c r="AL49" s="15">
        <f t="shared" si="1"/>
        <v>48220.829922345052</v>
      </c>
      <c r="AM49" s="15">
        <v>48220.829922345052</v>
      </c>
      <c r="AN49" s="15">
        <v>0</v>
      </c>
      <c r="AO49" s="15">
        <v>17053.169581219689</v>
      </c>
      <c r="AP49" s="15">
        <v>13805.350150150149</v>
      </c>
      <c r="AQ49" s="15"/>
      <c r="AR49" s="15"/>
      <c r="AS49" s="15">
        <v>8623.6421964082474</v>
      </c>
      <c r="AT49" s="15">
        <v>2055.7324389815699</v>
      </c>
      <c r="AU49" s="15">
        <f t="shared" si="2"/>
        <v>6567.909757426678</v>
      </c>
      <c r="AV49" s="15">
        <v>-5338</v>
      </c>
      <c r="AW49" s="15">
        <v>-4842.0000000000009</v>
      </c>
      <c r="AX49" s="15">
        <v>317668.85378643696</v>
      </c>
      <c r="AY49" s="15">
        <v>262576</v>
      </c>
      <c r="AZ49" s="15">
        <v>37407</v>
      </c>
      <c r="BA49" s="15"/>
      <c r="BB49" s="15"/>
      <c r="BC49" s="15">
        <v>18561.061938841165</v>
      </c>
      <c r="BD49" s="15">
        <v>-875.2081524042236</v>
      </c>
      <c r="BE49" s="15">
        <f t="shared" si="3"/>
        <v>24007.000000000007</v>
      </c>
      <c r="BF49" s="15">
        <v>239951.00000000006</v>
      </c>
      <c r="BG49" s="15">
        <v>22624.999999999971</v>
      </c>
      <c r="BH49" s="15">
        <v>6608.2901554404143</v>
      </c>
      <c r="BI49" s="15">
        <v>679.70984455958546</v>
      </c>
      <c r="BJ49" s="15">
        <v>0</v>
      </c>
      <c r="BK49" s="15">
        <v>2158</v>
      </c>
      <c r="BL49" s="15">
        <v>473.31606217616576</v>
      </c>
      <c r="BM49" s="15">
        <v>48.683937823834199</v>
      </c>
      <c r="BN49" s="15">
        <v>0</v>
      </c>
      <c r="BO49" s="15">
        <v>409085.97425029584</v>
      </c>
      <c r="BP49" s="15">
        <v>22599.57894736842</v>
      </c>
      <c r="BQ49" s="15">
        <v>3062.4386524588535</v>
      </c>
      <c r="BR49" s="15">
        <v>9175</v>
      </c>
      <c r="BS49" s="15">
        <v>2089.0000000000005</v>
      </c>
      <c r="BT49" s="15">
        <v>8176</v>
      </c>
      <c r="BU49" s="15">
        <v>1948</v>
      </c>
      <c r="BV49" s="15">
        <v>1842</v>
      </c>
      <c r="BW49" s="15">
        <v>0</v>
      </c>
      <c r="BX49" s="15">
        <v>195.99999999999906</v>
      </c>
      <c r="BY49" s="15">
        <v>4473</v>
      </c>
      <c r="BZ49" s="15">
        <v>3043.9999999999991</v>
      </c>
      <c r="CA49" s="15">
        <v>714</v>
      </c>
      <c r="CB49" s="15">
        <v>292</v>
      </c>
      <c r="CC49" s="15">
        <v>0</v>
      </c>
      <c r="CD49" s="15">
        <v>0</v>
      </c>
      <c r="CE49" s="15">
        <v>0</v>
      </c>
      <c r="CF49" s="15">
        <v>199</v>
      </c>
      <c r="CG49" s="15">
        <v>199</v>
      </c>
      <c r="CH49" s="15">
        <v>76933</v>
      </c>
      <c r="CI49" s="15"/>
      <c r="CJ49" s="15">
        <v>815.0081498768543</v>
      </c>
      <c r="CK49" s="15">
        <v>5766.9999999999991</v>
      </c>
      <c r="CL49" s="15">
        <v>109582.00000000003</v>
      </c>
      <c r="CM49" s="15">
        <v>84649</v>
      </c>
      <c r="CN49" s="15">
        <v>13385</v>
      </c>
      <c r="CO49" s="15">
        <v>-156.00000000000014</v>
      </c>
      <c r="CP49" s="15">
        <v>11491.57894736842</v>
      </c>
      <c r="CQ49" s="15">
        <v>6368</v>
      </c>
      <c r="CR49" s="15">
        <v>12631.578947368422</v>
      </c>
      <c r="CS49" s="15">
        <v>12000</v>
      </c>
      <c r="CT49" s="15">
        <v>631.57894736842161</v>
      </c>
      <c r="CU49" s="15">
        <v>2511</v>
      </c>
      <c r="CV49" s="15">
        <v>11010.396935706163</v>
      </c>
      <c r="CW49" s="15">
        <v>35994</v>
      </c>
      <c r="CX49" s="15">
        <v>2892</v>
      </c>
      <c r="CY49" s="15">
        <v>0</v>
      </c>
      <c r="CZ49" s="15">
        <v>1787</v>
      </c>
      <c r="DA49" s="19">
        <v>0</v>
      </c>
      <c r="DB49" s="19">
        <v>0</v>
      </c>
      <c r="DC49" s="19">
        <v>5.9021084477641317E-2</v>
      </c>
      <c r="DD49" s="19">
        <v>9.4869724785735299E-2</v>
      </c>
      <c r="DE49" s="19">
        <v>0.27561297836292653</v>
      </c>
      <c r="DF49" s="19">
        <v>0.29648865239016664</v>
      </c>
      <c r="DG49" s="19">
        <v>0.2740075599835301</v>
      </c>
      <c r="DH49" s="15">
        <v>1444.9999999999998</v>
      </c>
      <c r="DI49" s="15">
        <v>395252.9742502959</v>
      </c>
      <c r="DJ49" s="15">
        <v>318319.9742502959</v>
      </c>
      <c r="DK49" s="15">
        <v>418532</v>
      </c>
      <c r="DL49" s="18">
        <v>8.7472403543815067E-2</v>
      </c>
      <c r="DM49" s="15">
        <v>283500.41372308478</v>
      </c>
      <c r="DN49" s="15">
        <v>231519.51844955777</v>
      </c>
      <c r="DO49" s="15">
        <v>35119.358869995165</v>
      </c>
      <c r="DP49" s="15">
        <v>3338.8682984107418</v>
      </c>
      <c r="DQ49" s="15">
        <v>9637.5492836500725</v>
      </c>
      <c r="DR49" s="15">
        <v>3885.1188214710105</v>
      </c>
      <c r="DS49" s="15">
        <v>290399.41372308478</v>
      </c>
      <c r="DT49" s="18">
        <f t="shared" si="4"/>
        <v>0.19646280946607414</v>
      </c>
      <c r="DU49" s="18">
        <f t="shared" si="5"/>
        <v>0.19082115216006276</v>
      </c>
      <c r="DV49" s="18">
        <f t="shared" si="6"/>
        <v>5.1683250041069675E-2</v>
      </c>
      <c r="DW49" s="18">
        <f t="shared" si="7"/>
        <v>-4.3652635012675835E-2</v>
      </c>
      <c r="DX49" s="18">
        <f t="shared" si="8"/>
        <v>9.1185312326438783E-2</v>
      </c>
      <c r="DY49" s="18">
        <f t="shared" si="9"/>
        <v>0.30469015040739506</v>
      </c>
      <c r="DZ49" s="18">
        <f t="shared" si="10"/>
        <v>-7.7397700479800186E-2</v>
      </c>
      <c r="EA49" s="18">
        <f t="shared" si="11"/>
        <v>0.18443324657873372</v>
      </c>
      <c r="EB49" s="18">
        <f t="shared" si="12"/>
        <v>0.10177441451270192</v>
      </c>
      <c r="EC49" s="18">
        <f t="shared" si="13"/>
        <v>0.66619171764673224</v>
      </c>
      <c r="ED49" s="18">
        <f t="shared" si="14"/>
        <v>9.4906745407087156E-2</v>
      </c>
      <c r="EE49" s="18">
        <f t="shared" si="15"/>
        <v>4.0795674017689916E-2</v>
      </c>
      <c r="EF49" s="18">
        <f t="shared" si="16"/>
        <v>1.4404406262909905E-2</v>
      </c>
      <c r="EG49" s="18">
        <f t="shared" si="17"/>
        <v>0.11521420087913242</v>
      </c>
      <c r="EH49" s="18">
        <f t="shared" si="18"/>
        <v>2.8913387103247881E-2</v>
      </c>
      <c r="EI49" s="18">
        <f t="shared" si="19"/>
        <v>3.2985172340824952E-2</v>
      </c>
      <c r="EJ49" s="18">
        <f t="shared" si="20"/>
        <v>2.0604499050032608E-2</v>
      </c>
      <c r="EK49" s="18">
        <f t="shared" si="21"/>
        <v>-1.2754102434222472E-2</v>
      </c>
      <c r="EL49" s="18">
        <f t="shared" si="22"/>
        <v>-1.1569007865587341E-2</v>
      </c>
      <c r="EM49" s="6">
        <v>6.938678605345272</v>
      </c>
      <c r="EN49" s="6">
        <v>7.314743314743315</v>
      </c>
      <c r="EO49" s="6">
        <v>8.1862744020122591</v>
      </c>
      <c r="EP49" s="6">
        <v>6.9334828101644241</v>
      </c>
      <c r="EQ49" s="14">
        <v>107748.1</v>
      </c>
      <c r="ER49" s="14"/>
      <c r="ES49" s="15">
        <v>171274</v>
      </c>
      <c r="ET49" s="15">
        <v>66947.445008315946</v>
      </c>
      <c r="EU49" s="15">
        <v>1</v>
      </c>
      <c r="EX49" s="16"/>
      <c r="EY49" s="16"/>
      <c r="FA49" s="17"/>
      <c r="FB49" s="17"/>
      <c r="FC49" s="17"/>
      <c r="GJ49" s="6">
        <v>0.22409870488964531</v>
      </c>
    </row>
    <row r="50" spans="1:193" ht="15">
      <c r="A50" s="12">
        <v>1958</v>
      </c>
      <c r="B50" s="13"/>
      <c r="C50" s="15">
        <f t="shared" si="0"/>
        <v>1406827.515911059</v>
      </c>
      <c r="D50" s="15">
        <v>284316.34552876942</v>
      </c>
      <c r="E50" s="15">
        <v>23762.524685680255</v>
      </c>
      <c r="F50" s="15">
        <v>232550.69644273902</v>
      </c>
      <c r="G50" s="15">
        <v>1436.5000000000005</v>
      </c>
      <c r="H50" s="15">
        <v>13076.499999999925</v>
      </c>
      <c r="I50" s="15">
        <v>257789</v>
      </c>
      <c r="L50" s="15">
        <v>0</v>
      </c>
      <c r="M50" s="15">
        <v>122433.5</v>
      </c>
      <c r="N50" s="15">
        <v>-112275.5</v>
      </c>
      <c r="O50" s="15">
        <v>-24953.5</v>
      </c>
      <c r="P50" s="15">
        <v>427801</v>
      </c>
      <c r="Q50" s="15">
        <v>0</v>
      </c>
      <c r="R50" s="15">
        <v>146776</v>
      </c>
      <c r="S50" s="15">
        <v>9.4133237041478177E-2</v>
      </c>
      <c r="T50" s="15">
        <v>-60538.5</v>
      </c>
      <c r="U50" s="15">
        <v>69699.449253870291</v>
      </c>
      <c r="V50" s="15">
        <v>906.0999999999998</v>
      </c>
      <c r="W50" s="15">
        <v>762.02056551297892</v>
      </c>
      <c r="X50" s="15">
        <v>143.42278345881559</v>
      </c>
      <c r="Y50" s="15">
        <v>171.8291290203116</v>
      </c>
      <c r="Z50" s="15">
        <v>171.8291290203116</v>
      </c>
      <c r="AA50" s="15">
        <v>425394.6696775977</v>
      </c>
      <c r="AB50" s="15">
        <v>18440</v>
      </c>
      <c r="AC50" s="15">
        <v>13055.75</v>
      </c>
      <c r="AD50" s="15">
        <v>5246.6765033461988</v>
      </c>
      <c r="AE50" s="15">
        <v>-299.60984540731357</v>
      </c>
      <c r="AF50" s="15">
        <v>6159</v>
      </c>
      <c r="AG50" s="15">
        <v>7604.9999999999991</v>
      </c>
      <c r="AH50" s="15">
        <v>103916.48633553654</v>
      </c>
      <c r="AI50" s="15">
        <v>25320</v>
      </c>
      <c r="AJ50" s="15">
        <v>18681.114764365117</v>
      </c>
      <c r="AK50" s="15">
        <v>6638.8852356348852</v>
      </c>
      <c r="AL50" s="15">
        <f t="shared" si="1"/>
        <v>42675.759281285624</v>
      </c>
      <c r="AM50" s="15">
        <v>42675.759281285624</v>
      </c>
      <c r="AN50" s="15">
        <v>0</v>
      </c>
      <c r="AO50" s="15">
        <v>18389.317038504665</v>
      </c>
      <c r="AP50" s="15">
        <v>14488.316293459045</v>
      </c>
      <c r="AQ50" s="15"/>
      <c r="AR50" s="15"/>
      <c r="AS50" s="15">
        <v>9254.0270643483254</v>
      </c>
      <c r="AT50" s="15">
        <v>2073.8506152831064</v>
      </c>
      <c r="AU50" s="15">
        <f t="shared" si="2"/>
        <v>7180.1764490652185</v>
      </c>
      <c r="AV50" s="15">
        <v>-6190.9999999999991</v>
      </c>
      <c r="AW50" s="15">
        <v>-4967.0000000000009</v>
      </c>
      <c r="AX50" s="15">
        <v>321478.18334206112</v>
      </c>
      <c r="AY50" s="15">
        <v>264670</v>
      </c>
      <c r="AZ50" s="15">
        <v>39167.249999999993</v>
      </c>
      <c r="BA50" s="15"/>
      <c r="BB50" s="15"/>
      <c r="BC50" s="15">
        <v>18709.323496653797</v>
      </c>
      <c r="BD50" s="15">
        <v>-1068.3901545926867</v>
      </c>
      <c r="BE50" s="15">
        <f t="shared" si="3"/>
        <v>23955.999999999996</v>
      </c>
      <c r="BF50" s="15">
        <v>241317.00000000006</v>
      </c>
      <c r="BG50" s="15">
        <v>23352.999999999953</v>
      </c>
      <c r="BH50" s="15">
        <v>6419.3945147679315</v>
      </c>
      <c r="BI50" s="15">
        <v>819.60548523206751</v>
      </c>
      <c r="BJ50" s="15">
        <v>0</v>
      </c>
      <c r="BK50" s="15">
        <v>2181</v>
      </c>
      <c r="BL50" s="15">
        <v>515.21870604781998</v>
      </c>
      <c r="BM50" s="15">
        <v>65.781293952180022</v>
      </c>
      <c r="BN50" s="15">
        <v>0</v>
      </c>
      <c r="BO50" s="15">
        <v>413966.19712796138</v>
      </c>
      <c r="BP50" s="15">
        <v>22948.36842105263</v>
      </c>
      <c r="BQ50" s="15">
        <v>3463.1041285836418</v>
      </c>
      <c r="BR50" s="15">
        <v>10386</v>
      </c>
      <c r="BS50" s="15">
        <v>4596.9999999999991</v>
      </c>
      <c r="BT50" s="15">
        <v>9418</v>
      </c>
      <c r="BU50" s="15">
        <v>4244</v>
      </c>
      <c r="BV50" s="15">
        <v>1907</v>
      </c>
      <c r="BW50" s="15">
        <v>0</v>
      </c>
      <c r="BX50" s="15">
        <v>216.99999999999926</v>
      </c>
      <c r="BY50" s="15">
        <v>4566</v>
      </c>
      <c r="BZ50" s="15">
        <v>3341.9999999999991</v>
      </c>
      <c r="CA50" s="15">
        <v>836</v>
      </c>
      <c r="CB50" s="15">
        <v>382</v>
      </c>
      <c r="CC50" s="15">
        <v>0</v>
      </c>
      <c r="CD50" s="15">
        <v>0</v>
      </c>
      <c r="CE50" s="15">
        <v>0</v>
      </c>
      <c r="CF50" s="15">
        <v>257</v>
      </c>
      <c r="CG50" s="15">
        <v>257</v>
      </c>
      <c r="CH50" s="15">
        <v>81516</v>
      </c>
      <c r="CI50" s="15"/>
      <c r="CJ50" s="15">
        <v>953.33032240233263</v>
      </c>
      <c r="CK50" s="15">
        <v>5591</v>
      </c>
      <c r="CL50" s="15">
        <v>107786.99999999999</v>
      </c>
      <c r="CM50" s="15">
        <v>89681.000000000015</v>
      </c>
      <c r="CN50" s="15">
        <v>2676.9999999999854</v>
      </c>
      <c r="CO50" s="15">
        <v>-3660.9999999999995</v>
      </c>
      <c r="CP50" s="15">
        <v>11626.368421052632</v>
      </c>
      <c r="CQ50" s="15">
        <v>6349</v>
      </c>
      <c r="CR50" s="15">
        <v>12947.368421052632</v>
      </c>
      <c r="CS50" s="15">
        <v>12299.999999999998</v>
      </c>
      <c r="CT50" s="15">
        <v>647.36842105263213</v>
      </c>
      <c r="CU50" s="15">
        <v>2785</v>
      </c>
      <c r="CV50" s="15">
        <v>12658.434715548727</v>
      </c>
      <c r="CW50" s="15">
        <v>35485</v>
      </c>
      <c r="CX50" s="15">
        <v>3063</v>
      </c>
      <c r="CY50" s="15">
        <v>0</v>
      </c>
      <c r="CZ50" s="15">
        <v>1695</v>
      </c>
      <c r="DA50" s="19">
        <v>0</v>
      </c>
      <c r="DB50" s="19">
        <v>0</v>
      </c>
      <c r="DC50" s="19">
        <v>7.0662663238261092E-2</v>
      </c>
      <c r="DD50" s="19">
        <v>9.6039582897630926E-2</v>
      </c>
      <c r="DE50" s="19">
        <v>0.27824450620779817</v>
      </c>
      <c r="DF50" s="19">
        <v>0.29553123683574489</v>
      </c>
      <c r="DG50" s="19">
        <v>0.25952201082056492</v>
      </c>
      <c r="DH50" s="15">
        <v>1383.0000000000009</v>
      </c>
      <c r="DI50" s="15">
        <v>407229.1971279615</v>
      </c>
      <c r="DJ50" s="15">
        <v>325713.19712796144</v>
      </c>
      <c r="DK50" s="15">
        <v>420757</v>
      </c>
      <c r="DL50" s="18">
        <v>9.3322273901563141E-2</v>
      </c>
      <c r="DM50" s="15">
        <v>284837.65621132893</v>
      </c>
      <c r="DN50" s="15">
        <v>231769.89628743654</v>
      </c>
      <c r="DO50" s="15">
        <v>36298.320076657365</v>
      </c>
      <c r="DP50" s="15">
        <v>3683.6883122181257</v>
      </c>
      <c r="DQ50" s="15">
        <v>9239.976910072035</v>
      </c>
      <c r="DR50" s="15">
        <v>3845.7746249448592</v>
      </c>
      <c r="DS50" s="15">
        <v>293414.65621132893</v>
      </c>
      <c r="DT50" s="18">
        <f t="shared" si="4"/>
        <v>0.202097515376394</v>
      </c>
      <c r="DU50" s="18">
        <f t="shared" si="5"/>
        <v>0.1925084760323533</v>
      </c>
      <c r="DV50" s="18">
        <f t="shared" si="6"/>
        <v>4.954370629347056E-2</v>
      </c>
      <c r="DW50" s="18">
        <f t="shared" si="7"/>
        <v>-4.3031927734790837E-2</v>
      </c>
      <c r="DX50" s="18">
        <f t="shared" si="8"/>
        <v>8.702808170531999E-2</v>
      </c>
      <c r="DY50" s="18">
        <f t="shared" si="9"/>
        <v>0.30408916172140465</v>
      </c>
      <c r="DZ50" s="18">
        <f t="shared" si="10"/>
        <v>-7.9807580339577439E-2</v>
      </c>
      <c r="EA50" s="18">
        <f t="shared" si="11"/>
        <v>0.18324136902671848</v>
      </c>
      <c r="EB50" s="18">
        <f t="shared" si="12"/>
        <v>0.10433119791870728</v>
      </c>
      <c r="EC50" s="18">
        <f t="shared" si="13"/>
        <v>0.66776673910326789</v>
      </c>
      <c r="ED50" s="18">
        <f t="shared" si="14"/>
        <v>9.8819612393329315E-2</v>
      </c>
      <c r="EE50" s="18">
        <f t="shared" si="15"/>
        <v>4.4398821087623302E-2</v>
      </c>
      <c r="EF50" s="18">
        <f t="shared" si="16"/>
        <v>1.5778430865404224E-2</v>
      </c>
      <c r="EG50" s="18">
        <f t="shared" si="17"/>
        <v>0.10142614212309153</v>
      </c>
      <c r="EH50" s="18">
        <f t="shared" si="18"/>
        <v>3.2683110110840692E-2</v>
      </c>
      <c r="EI50" s="18">
        <f t="shared" si="19"/>
        <v>3.4433928118745606E-2</v>
      </c>
      <c r="EJ50" s="18">
        <f t="shared" si="20"/>
        <v>2.199375664421109E-2</v>
      </c>
      <c r="EK50" s="18">
        <f t="shared" si="21"/>
        <v>-1.4713956036382042E-2</v>
      </c>
      <c r="EL50" s="18">
        <f t="shared" si="22"/>
        <v>-1.1804913524908679E-2</v>
      </c>
      <c r="EM50" s="6">
        <v>6.7804587034336476</v>
      </c>
      <c r="EN50" s="6">
        <v>7.1361607142857144</v>
      </c>
      <c r="EO50" s="6">
        <v>7.9688560287486521</v>
      </c>
      <c r="EP50" s="6">
        <v>6.7733306783485991</v>
      </c>
      <c r="EQ50" s="14">
        <v>108710.2</v>
      </c>
      <c r="ER50" s="14"/>
      <c r="ES50" s="15">
        <v>174141</v>
      </c>
      <c r="ET50" s="15">
        <v>67546.014388339216</v>
      </c>
      <c r="EU50" s="15">
        <v>1</v>
      </c>
      <c r="EX50" s="16"/>
      <c r="EY50" s="16"/>
      <c r="FA50" s="17"/>
      <c r="FB50" s="17"/>
      <c r="FC50" s="17"/>
      <c r="GJ50" s="6">
        <v>0.24485523371831572</v>
      </c>
    </row>
    <row r="51" spans="1:193" ht="15">
      <c r="A51" s="12">
        <v>1959</v>
      </c>
      <c r="B51" s="13"/>
      <c r="C51" s="15">
        <f t="shared" si="0"/>
        <v>1502490.8891090304</v>
      </c>
      <c r="D51" s="15">
        <v>332317.68043950794</v>
      </c>
      <c r="E51" s="15">
        <v>25974.189299894122</v>
      </c>
      <c r="F51" s="15">
        <v>247080.93716236102</v>
      </c>
      <c r="G51" s="15">
        <v>1760.4999999999995</v>
      </c>
      <c r="H51" s="15">
        <v>13521.500000000053</v>
      </c>
      <c r="I51" s="15">
        <v>264752</v>
      </c>
      <c r="L51" s="15">
        <v>0</v>
      </c>
      <c r="M51" s="15">
        <v>123189</v>
      </c>
      <c r="N51" s="15">
        <v>-123638</v>
      </c>
      <c r="O51" s="15">
        <v>-27343.5</v>
      </c>
      <c r="P51" s="15">
        <v>451043.5</v>
      </c>
      <c r="Q51" s="15">
        <v>0</v>
      </c>
      <c r="R51" s="15">
        <v>160244.50000000003</v>
      </c>
      <c r="S51" s="15">
        <v>0.11253428354795328</v>
      </c>
      <c r="T51" s="15">
        <v>-65659.500000000015</v>
      </c>
      <c r="U51" s="15">
        <v>71904.582207267114</v>
      </c>
      <c r="V51" s="15">
        <v>1307.6730157254217</v>
      </c>
      <c r="W51" s="15">
        <v>841.94056712607994</v>
      </c>
      <c r="X51" s="15">
        <v>173.12547343237551</v>
      </c>
      <c r="Y51" s="15">
        <v>187.07925737264986</v>
      </c>
      <c r="Z51" s="15">
        <v>187.07925737264986</v>
      </c>
      <c r="AA51" s="15">
        <v>464130.63954541757</v>
      </c>
      <c r="AB51" s="15">
        <v>22816</v>
      </c>
      <c r="AC51" s="15">
        <v>12930.749999999998</v>
      </c>
      <c r="AD51" s="15">
        <v>6258.2016179990715</v>
      </c>
      <c r="AE51" s="15">
        <v>-247.19721156778101</v>
      </c>
      <c r="AF51" s="15">
        <v>6709</v>
      </c>
      <c r="AG51" s="15">
        <v>8102.9999999999991</v>
      </c>
      <c r="AH51" s="15">
        <v>119793.39395184891</v>
      </c>
      <c r="AI51" s="15">
        <v>28134</v>
      </c>
      <c r="AJ51" s="15">
        <v>20643.855962660444</v>
      </c>
      <c r="AK51" s="15">
        <v>7490.1440373395571</v>
      </c>
      <c r="AL51" s="15">
        <f t="shared" si="1"/>
        <v>52737.466282869696</v>
      </c>
      <c r="AM51" s="15">
        <v>52737.466282869696</v>
      </c>
      <c r="AN51" s="15">
        <v>0</v>
      </c>
      <c r="AO51" s="15">
        <v>20099.878674635678</v>
      </c>
      <c r="AP51" s="15">
        <v>14444.514072534943</v>
      </c>
      <c r="AQ51" s="15"/>
      <c r="AR51" s="15"/>
      <c r="AS51" s="15">
        <v>10796.530515377272</v>
      </c>
      <c r="AT51" s="15">
        <v>2861.7638646888167</v>
      </c>
      <c r="AU51" s="15">
        <f t="shared" si="2"/>
        <v>7934.7666506884543</v>
      </c>
      <c r="AV51" s="15">
        <v>-6995</v>
      </c>
      <c r="AW51" s="15">
        <v>-5435</v>
      </c>
      <c r="AX51" s="15">
        <v>344337.24559356872</v>
      </c>
      <c r="AY51" s="15">
        <v>285829</v>
      </c>
      <c r="AZ51" s="15">
        <v>38792.249999999993</v>
      </c>
      <c r="BA51" s="15"/>
      <c r="BB51" s="15"/>
      <c r="BC51" s="15">
        <v>20526.798382000932</v>
      </c>
      <c r="BD51" s="15">
        <v>-810.80278843221913</v>
      </c>
      <c r="BE51" s="15">
        <f t="shared" si="3"/>
        <v>26785.000000000004</v>
      </c>
      <c r="BF51" s="15">
        <v>259842.00000000003</v>
      </c>
      <c r="BG51" s="15">
        <v>25986.999999999967</v>
      </c>
      <c r="BH51" s="15">
        <v>8129.4317343173434</v>
      </c>
      <c r="BI51" s="15">
        <v>899.56826568265683</v>
      </c>
      <c r="BJ51" s="15">
        <v>0</v>
      </c>
      <c r="BK51" s="15">
        <v>2745</v>
      </c>
      <c r="BL51" s="15">
        <v>531.21771217712183</v>
      </c>
      <c r="BM51" s="15">
        <v>58.782287822878217</v>
      </c>
      <c r="BN51" s="15">
        <v>0</v>
      </c>
      <c r="BO51" s="15">
        <v>449263.79336308176</v>
      </c>
      <c r="BP51" s="15">
        <v>26153.47368421053</v>
      </c>
      <c r="BQ51" s="15">
        <v>4272.372498125339</v>
      </c>
      <c r="BR51" s="15">
        <v>12136.000000000002</v>
      </c>
      <c r="BS51" s="15">
        <v>3423</v>
      </c>
      <c r="BT51" s="15">
        <v>11245.000000000002</v>
      </c>
      <c r="BU51" s="15">
        <v>2853</v>
      </c>
      <c r="BV51" s="15">
        <v>1921</v>
      </c>
      <c r="BW51" s="15">
        <v>0</v>
      </c>
      <c r="BX51" s="15">
        <v>210.99999999999946</v>
      </c>
      <c r="BY51" s="15">
        <v>4492</v>
      </c>
      <c r="BZ51" s="15">
        <v>3614.9999999999991</v>
      </c>
      <c r="CA51" s="15">
        <v>934</v>
      </c>
      <c r="CB51" s="15">
        <v>548.99999999999989</v>
      </c>
      <c r="CC51" s="15">
        <v>0</v>
      </c>
      <c r="CD51" s="15">
        <v>0</v>
      </c>
      <c r="CE51" s="15">
        <v>0</v>
      </c>
      <c r="CF51" s="15">
        <v>775</v>
      </c>
      <c r="CG51" s="15">
        <v>775</v>
      </c>
      <c r="CH51" s="15">
        <v>82594</v>
      </c>
      <c r="CI51" s="15">
        <v>14484</v>
      </c>
      <c r="CJ51" s="15">
        <v>1003.3604545823745</v>
      </c>
      <c r="CK51" s="15">
        <v>6361.9999999999982</v>
      </c>
      <c r="CL51" s="15">
        <v>122340</v>
      </c>
      <c r="CM51" s="15">
        <v>91476</v>
      </c>
      <c r="CN51" s="15">
        <v>15771.000000000011</v>
      </c>
      <c r="CO51" s="15">
        <v>-1734</v>
      </c>
      <c r="CP51" s="15">
        <v>12328.473684210529</v>
      </c>
      <c r="CQ51" s="15">
        <v>7854</v>
      </c>
      <c r="CR51" s="15">
        <v>13789.473684210529</v>
      </c>
      <c r="CS51" s="15">
        <v>13100.000000000002</v>
      </c>
      <c r="CT51" s="15">
        <v>689.47368421052715</v>
      </c>
      <c r="CU51" s="15">
        <v>3050</v>
      </c>
      <c r="CV51" s="15">
        <v>11422.967326096334</v>
      </c>
      <c r="CW51" s="15">
        <v>38466</v>
      </c>
      <c r="CX51" s="15">
        <v>3823</v>
      </c>
      <c r="CY51" s="15">
        <v>0</v>
      </c>
      <c r="CZ51" s="15">
        <v>1805</v>
      </c>
      <c r="DA51" s="19">
        <v>0</v>
      </c>
      <c r="DB51" s="19">
        <v>0</v>
      </c>
      <c r="DC51" s="19">
        <v>8.2304241998880756E-2</v>
      </c>
      <c r="DD51" s="19">
        <v>9.7209441009526665E-2</v>
      </c>
      <c r="DE51" s="19">
        <v>0.2808760340526697</v>
      </c>
      <c r="DF51" s="19">
        <v>0.29457382128132314</v>
      </c>
      <c r="DG51" s="19">
        <v>0.24503646165759974</v>
      </c>
      <c r="DH51" s="15">
        <v>1468.9999999999993</v>
      </c>
      <c r="DI51" s="15">
        <v>431821.79336308164</v>
      </c>
      <c r="DJ51" s="15">
        <v>349227.7933630817</v>
      </c>
      <c r="DK51" s="15">
        <v>458771.99999999994</v>
      </c>
      <c r="DL51" s="18">
        <v>9.1118246100459502E-2</v>
      </c>
      <c r="DM51" s="15">
        <v>306744.52996564389</v>
      </c>
      <c r="DN51" s="15">
        <v>251355.38072853949</v>
      </c>
      <c r="DO51" s="15">
        <v>37234.744480977664</v>
      </c>
      <c r="DP51" s="15">
        <v>4416.8000145684928</v>
      </c>
      <c r="DQ51" s="15">
        <v>9872.5278687412883</v>
      </c>
      <c r="DR51" s="15">
        <v>3865.0768728169342</v>
      </c>
      <c r="DS51" s="15">
        <v>319177.52996564389</v>
      </c>
      <c r="DT51" s="18">
        <f t="shared" si="4"/>
        <v>0.22117783398777924</v>
      </c>
      <c r="DU51" s="18">
        <f t="shared" si="5"/>
        <v>0.19190607314313746</v>
      </c>
      <c r="DV51" s="18">
        <f t="shared" si="6"/>
        <v>4.7856917288800448E-2</v>
      </c>
      <c r="DW51" s="18">
        <f t="shared" si="7"/>
        <v>-4.3700431380942199E-2</v>
      </c>
      <c r="DX51" s="18">
        <f t="shared" si="8"/>
        <v>8.1989848253289879E-2</v>
      </c>
      <c r="DY51" s="18">
        <f t="shared" si="9"/>
        <v>0.30019716144000486</v>
      </c>
      <c r="DZ51" s="18">
        <f t="shared" si="10"/>
        <v>-8.2288685339926906E-2</v>
      </c>
      <c r="EA51" s="18">
        <f t="shared" si="11"/>
        <v>0.17620872240829136</v>
      </c>
      <c r="EB51" s="18">
        <f t="shared" si="12"/>
        <v>0.10665256019956582</v>
      </c>
      <c r="EC51" s="18">
        <f t="shared" si="13"/>
        <v>0.66242675076835655</v>
      </c>
      <c r="ED51" s="18">
        <f t="shared" si="14"/>
        <v>8.9903488178224647E-2</v>
      </c>
      <c r="EE51" s="18">
        <f t="shared" si="15"/>
        <v>4.4998073035539321E-2</v>
      </c>
      <c r="EF51" s="18">
        <f t="shared" si="16"/>
        <v>1.6326506494161716E-2</v>
      </c>
      <c r="EG51" s="18">
        <f t="shared" si="17"/>
        <v>0.1149535418091551</v>
      </c>
      <c r="EH51" s="18">
        <f t="shared" si="18"/>
        <v>3.2131950357079456E-2</v>
      </c>
      <c r="EI51" s="18">
        <f t="shared" si="19"/>
        <v>3.1485169261713762E-2</v>
      </c>
      <c r="EJ51" s="18">
        <f t="shared" si="20"/>
        <v>2.3533542839094961E-2</v>
      </c>
      <c r="EK51" s="18">
        <f t="shared" si="21"/>
        <v>-1.5247225201189265E-2</v>
      </c>
      <c r="EL51" s="18">
        <f t="shared" si="22"/>
        <v>-1.1846843312146339E-2</v>
      </c>
      <c r="EM51" s="6">
        <v>6.692181877657835</v>
      </c>
      <c r="EN51" s="6">
        <v>7.0437895896447262</v>
      </c>
      <c r="EO51" s="6">
        <v>7.9140872587916169</v>
      </c>
      <c r="EP51" s="6">
        <v>6.6741007194244606</v>
      </c>
      <c r="EQ51" s="14">
        <v>110222.8</v>
      </c>
      <c r="ER51" s="14"/>
      <c r="ES51" s="15">
        <v>177130</v>
      </c>
      <c r="ET51" s="15">
        <v>68143.847453790891</v>
      </c>
      <c r="EU51" s="15">
        <v>1</v>
      </c>
      <c r="EX51" s="16"/>
      <c r="EY51" s="16"/>
      <c r="FA51" s="17"/>
      <c r="FB51" s="17"/>
      <c r="FC51" s="17"/>
      <c r="GJ51" s="6">
        <v>0.21403163656243629</v>
      </c>
    </row>
    <row r="52" spans="1:193" ht="15">
      <c r="A52" s="12">
        <v>1960</v>
      </c>
      <c r="B52" s="13">
        <v>0.88857180297316585</v>
      </c>
      <c r="C52" s="15">
        <f t="shared" si="0"/>
        <v>1562892.4272944254</v>
      </c>
      <c r="D52" s="15">
        <v>347881.45603847591</v>
      </c>
      <c r="E52" s="15">
        <v>29107.585121095817</v>
      </c>
      <c r="F52" s="15">
        <v>262690.24700360949</v>
      </c>
      <c r="G52" s="15">
        <v>2085.4999999999995</v>
      </c>
      <c r="H52" s="15">
        <v>14066.499999999955</v>
      </c>
      <c r="I52" s="15">
        <v>265471.5</v>
      </c>
      <c r="L52" s="15">
        <v>0</v>
      </c>
      <c r="M52" s="15">
        <v>128112.49999999999</v>
      </c>
      <c r="N52" s="15">
        <v>-135738.5</v>
      </c>
      <c r="O52" s="15">
        <v>-29815.999999999996</v>
      </c>
      <c r="P52" s="15">
        <v>475272</v>
      </c>
      <c r="Q52" s="15">
        <v>0</v>
      </c>
      <c r="R52" s="15">
        <v>173029</v>
      </c>
      <c r="S52" s="15">
        <v>0.12180617121985332</v>
      </c>
      <c r="T52" s="15">
        <v>-72840</v>
      </c>
      <c r="U52" s="15">
        <v>73754.639131244345</v>
      </c>
      <c r="V52" s="15">
        <v>1051.45</v>
      </c>
      <c r="W52" s="15">
        <v>850.91040762711771</v>
      </c>
      <c r="X52" s="15">
        <v>189.82747068914628</v>
      </c>
      <c r="Y52" s="15">
        <v>186.26398633492857</v>
      </c>
      <c r="Z52" s="15">
        <v>186.26398633492857</v>
      </c>
      <c r="AA52" s="15">
        <v>484769.40779090312</v>
      </c>
      <c r="AB52" s="15">
        <v>21885</v>
      </c>
      <c r="AC52" s="15">
        <v>14042.451627372408</v>
      </c>
      <c r="AD52" s="15">
        <v>6646.1225998397813</v>
      </c>
      <c r="AE52" s="15">
        <v>-264.68086250404468</v>
      </c>
      <c r="AF52" s="15">
        <v>7439.0000000000009</v>
      </c>
      <c r="AG52" s="15">
        <v>8799</v>
      </c>
      <c r="AH52" s="15">
        <v>124450.30115561128</v>
      </c>
      <c r="AI52" s="15">
        <v>30641</v>
      </c>
      <c r="AJ52" s="15">
        <v>22805.767994138438</v>
      </c>
      <c r="AK52" s="15">
        <v>7835.2320058615696</v>
      </c>
      <c r="AL52" s="15">
        <f t="shared" si="1"/>
        <v>51624.093018748696</v>
      </c>
      <c r="AM52" s="15">
        <v>51624.093018748696</v>
      </c>
      <c r="AN52" s="15">
        <v>0</v>
      </c>
      <c r="AO52" s="15">
        <v>22180.64960258684</v>
      </c>
      <c r="AP52" s="15">
        <v>15672.619867239149</v>
      </c>
      <c r="AQ52" s="15">
        <v>7379.3504504521852</v>
      </c>
      <c r="AR52" s="15">
        <f>AP52-AQ52</f>
        <v>8293.2694167869631</v>
      </c>
      <c r="AS52" s="15">
        <v>11957.496929700834</v>
      </c>
      <c r="AT52" s="15">
        <v>3127.5866119831658</v>
      </c>
      <c r="AU52" s="15">
        <f t="shared" si="2"/>
        <v>8829.9103177176676</v>
      </c>
      <c r="AV52" s="15">
        <v>-7789</v>
      </c>
      <c r="AW52" s="15">
        <v>-6218</v>
      </c>
      <c r="AX52" s="15">
        <v>360319.10663529189</v>
      </c>
      <c r="AY52" s="15">
        <v>301283</v>
      </c>
      <c r="AZ52" s="15">
        <v>37787.548372627585</v>
      </c>
      <c r="BA52" s="15">
        <v>8686.529284784332</v>
      </c>
      <c r="BB52" s="15">
        <f>AZ52-BA52</f>
        <v>29101.019087843255</v>
      </c>
      <c r="BC52" s="15">
        <v>22129.877400160218</v>
      </c>
      <c r="BD52" s="15">
        <v>-881.31913749595537</v>
      </c>
      <c r="BE52" s="15">
        <f t="shared" si="3"/>
        <v>28776</v>
      </c>
      <c r="BF52" s="15">
        <v>272855</v>
      </c>
      <c r="BG52" s="15">
        <v>28427.999999999996</v>
      </c>
      <c r="BH52" s="15">
        <v>10224.616874368476</v>
      </c>
      <c r="BI52" s="15">
        <v>950.38312563152567</v>
      </c>
      <c r="BJ52" s="15">
        <v>0</v>
      </c>
      <c r="BK52" s="15">
        <v>3011</v>
      </c>
      <c r="BL52" s="15">
        <v>639.55321657123613</v>
      </c>
      <c r="BM52" s="15">
        <v>59.446783428763879</v>
      </c>
      <c r="BN52" s="15">
        <v>0</v>
      </c>
      <c r="BO52" s="15">
        <v>467567.7307668702</v>
      </c>
      <c r="BP52" s="15">
        <v>29306.052631578947</v>
      </c>
      <c r="BQ52" s="15">
        <v>4923.6243924540431</v>
      </c>
      <c r="BR52" s="15">
        <v>13242.999999999998</v>
      </c>
      <c r="BS52" s="15">
        <v>3785</v>
      </c>
      <c r="BT52" s="15">
        <v>12331.999999999998</v>
      </c>
      <c r="BU52" s="15">
        <v>3079</v>
      </c>
      <c r="BV52" s="15">
        <v>1947</v>
      </c>
      <c r="BW52" s="15">
        <v>0</v>
      </c>
      <c r="BX52" s="15">
        <v>485.00000000000153</v>
      </c>
      <c r="BY52" s="15">
        <v>4488</v>
      </c>
      <c r="BZ52" s="15">
        <v>3986.0000000000018</v>
      </c>
      <c r="CA52" s="15">
        <v>991</v>
      </c>
      <c r="CB52" s="15">
        <v>563</v>
      </c>
      <c r="CC52" s="15">
        <v>0</v>
      </c>
      <c r="CD52" s="15">
        <v>0</v>
      </c>
      <c r="CE52" s="15">
        <v>0</v>
      </c>
      <c r="CF52" s="15">
        <v>872</v>
      </c>
      <c r="CG52" s="15">
        <v>872</v>
      </c>
      <c r="CH52" s="15">
        <v>84517</v>
      </c>
      <c r="CI52" s="15">
        <v>15902</v>
      </c>
      <c r="CJ52" s="15">
        <v>799.59220909689361</v>
      </c>
      <c r="CK52" s="15">
        <v>6704.9999999999982</v>
      </c>
      <c r="CL52" s="15">
        <v>131653.00000000003</v>
      </c>
      <c r="CM52" s="15">
        <v>93863</v>
      </c>
      <c r="CN52" s="15">
        <v>21315.999999999993</v>
      </c>
      <c r="CO52" s="15">
        <v>-525.99999999999977</v>
      </c>
      <c r="CP52" s="15">
        <v>12804.052631578948</v>
      </c>
      <c r="CQ52" s="15">
        <v>9250</v>
      </c>
      <c r="CR52" s="15">
        <v>14421.052631578948</v>
      </c>
      <c r="CS52" s="15">
        <v>13700.000000000002</v>
      </c>
      <c r="CT52" s="15">
        <v>721.05263157894808</v>
      </c>
      <c r="CU52" s="15">
        <v>3391</v>
      </c>
      <c r="CV52" s="15">
        <v>13968.606806383978</v>
      </c>
      <c r="CW52" s="15">
        <v>41838</v>
      </c>
      <c r="CX52" s="15">
        <v>4230</v>
      </c>
      <c r="CY52" s="15">
        <v>0</v>
      </c>
      <c r="CZ52" s="15">
        <v>2242</v>
      </c>
      <c r="DA52" s="19">
        <v>0</v>
      </c>
      <c r="DB52" s="19">
        <v>0</v>
      </c>
      <c r="DC52" s="19">
        <v>9.3945820759500531E-2</v>
      </c>
      <c r="DD52" s="19">
        <v>9.8379299121422292E-2</v>
      </c>
      <c r="DE52" s="19">
        <v>0.28350756189754123</v>
      </c>
      <c r="DF52" s="19">
        <v>0.2936164057269014</v>
      </c>
      <c r="DG52" s="19">
        <v>0.23055091249463455</v>
      </c>
      <c r="DH52" s="15">
        <v>1559.000000000002</v>
      </c>
      <c r="DI52" s="15">
        <v>445808.73076687014</v>
      </c>
      <c r="DJ52" s="15">
        <v>361291.73076687014</v>
      </c>
      <c r="DK52" s="15">
        <v>478864.00000000006</v>
      </c>
      <c r="DL52" s="18">
        <v>9.6081444808008343E-2</v>
      </c>
      <c r="DM52" s="15">
        <v>318030.13520679035</v>
      </c>
      <c r="DN52" s="15">
        <v>262574.68515956588</v>
      </c>
      <c r="DO52" s="15">
        <v>36314.149728805605</v>
      </c>
      <c r="DP52" s="15">
        <v>5091.2586829845632</v>
      </c>
      <c r="DQ52" s="15">
        <v>10074.289106443548</v>
      </c>
      <c r="DR52" s="15">
        <v>3975.7525289907139</v>
      </c>
      <c r="DS52" s="15">
        <v>328547.13520679035</v>
      </c>
      <c r="DT52" s="18">
        <f t="shared" si="4"/>
        <v>0.22258822805911535</v>
      </c>
      <c r="DU52" s="18">
        <f t="shared" si="5"/>
        <v>0.19703840568081027</v>
      </c>
      <c r="DV52" s="18">
        <f t="shared" si="6"/>
        <v>4.7191116831325E-2</v>
      </c>
      <c r="DW52" s="18">
        <f t="shared" si="7"/>
        <v>-4.6605894767879658E-2</v>
      </c>
      <c r="DX52" s="18">
        <f t="shared" si="8"/>
        <v>8.1971412595414364E-2</v>
      </c>
      <c r="DY52" s="18">
        <f t="shared" si="9"/>
        <v>0.30409770480669551</v>
      </c>
      <c r="DZ52" s="18">
        <f t="shared" si="10"/>
        <v>-8.6850827113534229E-2</v>
      </c>
      <c r="EA52" s="18">
        <f t="shared" si="11"/>
        <v>0.1698590992980665</v>
      </c>
      <c r="EB52" s="18">
        <f t="shared" si="12"/>
        <v>0.11071075460998694</v>
      </c>
      <c r="EC52" s="18">
        <f t="shared" si="13"/>
        <v>0.67022499965788396</v>
      </c>
      <c r="ED52" s="18">
        <f t="shared" si="14"/>
        <v>8.4061030974587336E-2</v>
      </c>
      <c r="EE52" s="18">
        <f t="shared" si="15"/>
        <v>4.7624728511933313E-2</v>
      </c>
      <c r="EF52" s="18">
        <f t="shared" si="16"/>
        <v>1.6362123704980053E-2</v>
      </c>
      <c r="EG52" s="18">
        <f t="shared" si="17"/>
        <v>0.10780533307734282</v>
      </c>
      <c r="EH52" s="18">
        <f t="shared" si="18"/>
        <v>3.3987190124301958E-2</v>
      </c>
      <c r="EI52" s="18">
        <f t="shared" si="19"/>
        <v>3.2728749430400168E-2</v>
      </c>
      <c r="EJ52" s="18">
        <f t="shared" si="20"/>
        <v>2.4970548902612917E-2</v>
      </c>
      <c r="EK52" s="18">
        <f t="shared" si="21"/>
        <v>-1.6265578535868221E-2</v>
      </c>
      <c r="EL52" s="18">
        <f t="shared" si="22"/>
        <v>-1.2984897590965282E-2</v>
      </c>
      <c r="EM52" s="6">
        <v>6.6019104169355884</v>
      </c>
      <c r="EN52" s="6">
        <v>6.9405698778833109</v>
      </c>
      <c r="EO52" s="6">
        <v>7.7804033523931118</v>
      </c>
      <c r="EP52" s="6">
        <v>6.5663084743581495</v>
      </c>
      <c r="EQ52" s="14">
        <v>111313.60000000001</v>
      </c>
      <c r="ER52" s="14">
        <v>16675.030999999999</v>
      </c>
      <c r="ES52" s="15">
        <v>180760</v>
      </c>
      <c r="ET52" s="15">
        <v>68681</v>
      </c>
      <c r="EU52" s="15">
        <v>1</v>
      </c>
      <c r="EV52" s="6">
        <v>4800</v>
      </c>
      <c r="EW52" s="6">
        <v>0.06</v>
      </c>
      <c r="EX52" s="16">
        <v>5.5E-2</v>
      </c>
      <c r="EY52" s="16">
        <f t="shared" ref="EY52:EY91" si="23">EW52-EX52</f>
        <v>4.9999999999999975E-3</v>
      </c>
      <c r="EZ52" s="6">
        <v>0</v>
      </c>
      <c r="FA52" s="17"/>
      <c r="FB52" s="17"/>
      <c r="FC52" s="17"/>
      <c r="GJ52" s="6">
        <v>0.23197184006515248</v>
      </c>
      <c r="GK52" s="6">
        <f t="shared" ref="GK52:GK58" si="24">GK53</f>
        <v>0.44911850660324648</v>
      </c>
    </row>
    <row r="53" spans="1:193" ht="15">
      <c r="A53" s="12">
        <v>1961</v>
      </c>
      <c r="B53" s="13">
        <v>0.87859131328958984</v>
      </c>
      <c r="C53" s="15">
        <f t="shared" si="0"/>
        <v>1657886.9961929775</v>
      </c>
      <c r="D53" s="15">
        <v>386784.25120022555</v>
      </c>
      <c r="E53" s="15">
        <v>31139.316036924301</v>
      </c>
      <c r="F53" s="15">
        <v>280722.88918884372</v>
      </c>
      <c r="G53" s="15">
        <v>2421.5000000000009</v>
      </c>
      <c r="H53" s="15">
        <v>14648.999999999858</v>
      </c>
      <c r="I53" s="15">
        <v>269908</v>
      </c>
      <c r="L53" s="15">
        <v>0</v>
      </c>
      <c r="M53" s="15">
        <v>137257.5</v>
      </c>
      <c r="N53" s="15">
        <v>-147702.5</v>
      </c>
      <c r="O53" s="15">
        <v>-32706.000000000004</v>
      </c>
      <c r="P53" s="15">
        <v>498975.5</v>
      </c>
      <c r="Q53" s="15">
        <v>0</v>
      </c>
      <c r="R53" s="15">
        <v>187457.49999999997</v>
      </c>
      <c r="S53" s="15">
        <v>0.14033047490764572</v>
      </c>
      <c r="T53" s="15">
        <v>-78144.5</v>
      </c>
      <c r="U53" s="15">
        <v>74418.53976698409</v>
      </c>
      <c r="V53" s="15">
        <v>1561.5888336419071</v>
      </c>
      <c r="W53" s="15">
        <v>916.46591645871399</v>
      </c>
      <c r="X53" s="15">
        <v>207.38269393731278</v>
      </c>
      <c r="Y53" s="15">
        <v>183.96374833542276</v>
      </c>
      <c r="Z53" s="15">
        <v>183.96374833542276</v>
      </c>
      <c r="AA53" s="15">
        <v>501479.74501486542</v>
      </c>
      <c r="AB53" s="15">
        <v>22203</v>
      </c>
      <c r="AC53" s="15">
        <v>14653.270457596418</v>
      </c>
      <c r="AD53" s="15">
        <v>6909.2335916031552</v>
      </c>
      <c r="AE53" s="15">
        <v>-468.11533517758005</v>
      </c>
      <c r="AF53" s="15">
        <v>8221</v>
      </c>
      <c r="AG53" s="15">
        <v>9358.9999999999982</v>
      </c>
      <c r="AH53" s="15">
        <v>130053.13372888745</v>
      </c>
      <c r="AI53" s="15">
        <v>33022</v>
      </c>
      <c r="AJ53" s="15">
        <v>24678.955284061121</v>
      </c>
      <c r="AK53" s="15">
        <v>8343.0447159388768</v>
      </c>
      <c r="AL53" s="15">
        <f t="shared" si="1"/>
        <v>52466.670211146891</v>
      </c>
      <c r="AM53" s="15">
        <v>52466.670211146891</v>
      </c>
      <c r="AN53" s="15">
        <v>0</v>
      </c>
      <c r="AO53" s="15">
        <v>23754.153964545458</v>
      </c>
      <c r="AP53" s="15">
        <v>16383.293000427799</v>
      </c>
      <c r="AQ53" s="15">
        <v>7666.8687662394759</v>
      </c>
      <c r="AR53" s="15">
        <f t="shared" ref="AR53:AR116" si="25">AP53-AQ53</f>
        <v>8716.4242341883219</v>
      </c>
      <c r="AS53" s="15">
        <v>13058.898296341722</v>
      </c>
      <c r="AT53" s="15">
        <v>3568.3671770284973</v>
      </c>
      <c r="AU53" s="15">
        <f t="shared" si="2"/>
        <v>9490.5311193132256</v>
      </c>
      <c r="AV53" s="15">
        <v>-8585</v>
      </c>
      <c r="AW53" s="15">
        <v>-6488</v>
      </c>
      <c r="AX53" s="15">
        <v>371426.61128597806</v>
      </c>
      <c r="AY53" s="15">
        <v>310422</v>
      </c>
      <c r="AZ53" s="15">
        <v>39733.729542403584</v>
      </c>
      <c r="BA53" s="15">
        <v>9175.0196507117835</v>
      </c>
      <c r="BB53" s="15">
        <f t="shared" ref="BB53:BB116" si="26">AZ53-BA53</f>
        <v>30558.7098916918</v>
      </c>
      <c r="BC53" s="15">
        <v>22816.766408396852</v>
      </c>
      <c r="BD53" s="15">
        <v>-1545.8846648224198</v>
      </c>
      <c r="BE53" s="15">
        <f t="shared" si="3"/>
        <v>29726.000000000007</v>
      </c>
      <c r="BF53" s="15">
        <v>280519</v>
      </c>
      <c r="BG53" s="15">
        <v>29903.000000000022</v>
      </c>
      <c r="BH53" s="15">
        <v>10351.833157510346</v>
      </c>
      <c r="BI53" s="15">
        <v>952.1668424896535</v>
      </c>
      <c r="BJ53" s="15">
        <v>0</v>
      </c>
      <c r="BK53" s="15">
        <v>3286</v>
      </c>
      <c r="BL53" s="15">
        <v>755.50799318347799</v>
      </c>
      <c r="BM53" s="15">
        <v>69.492006816521936</v>
      </c>
      <c r="BN53" s="15">
        <v>0</v>
      </c>
      <c r="BO53" s="15">
        <v>485428.12719677197</v>
      </c>
      <c r="BP53" s="15">
        <v>30572.89473684211</v>
      </c>
      <c r="BQ53" s="15">
        <v>5642.7230812513744</v>
      </c>
      <c r="BR53" s="15">
        <v>14716</v>
      </c>
      <c r="BS53" s="15">
        <v>5448.0000000000018</v>
      </c>
      <c r="BT53" s="15">
        <v>13903</v>
      </c>
      <c r="BU53" s="15">
        <v>4401</v>
      </c>
      <c r="BV53" s="15">
        <v>1906</v>
      </c>
      <c r="BW53" s="15">
        <v>7</v>
      </c>
      <c r="BX53" s="15">
        <v>523.00000000000023</v>
      </c>
      <c r="BY53" s="15">
        <v>4853</v>
      </c>
      <c r="BZ53" s="15">
        <v>4229</v>
      </c>
      <c r="CA53" s="15">
        <v>1146</v>
      </c>
      <c r="CB53" s="15">
        <v>647</v>
      </c>
      <c r="CC53" s="15">
        <v>0</v>
      </c>
      <c r="CD53" s="15">
        <v>0</v>
      </c>
      <c r="CE53" s="15">
        <v>0</v>
      </c>
      <c r="CF53" s="15">
        <v>1099.9999999999998</v>
      </c>
      <c r="CG53" s="15">
        <v>1099.9999999999998</v>
      </c>
      <c r="CH53" s="15">
        <v>89340</v>
      </c>
      <c r="CI53" s="15">
        <v>17329</v>
      </c>
      <c r="CJ53" s="15">
        <v>981.25498513453545</v>
      </c>
      <c r="CK53" s="15">
        <v>6457.0000000000009</v>
      </c>
      <c r="CL53" s="15">
        <v>136274</v>
      </c>
      <c r="CM53" s="15">
        <v>99522</v>
      </c>
      <c r="CN53" s="15">
        <v>16554.999999999964</v>
      </c>
      <c r="CO53" s="15">
        <v>-2889.0000000000005</v>
      </c>
      <c r="CP53" s="15">
        <v>13297.894736842107</v>
      </c>
      <c r="CQ53" s="15">
        <v>9611</v>
      </c>
      <c r="CR53" s="15">
        <v>15157.894736842107</v>
      </c>
      <c r="CS53" s="15">
        <v>14400</v>
      </c>
      <c r="CT53" s="15">
        <v>757.894736842106</v>
      </c>
      <c r="CU53" s="15">
        <v>3766</v>
      </c>
      <c r="CV53" s="15">
        <v>12312.614688476728</v>
      </c>
      <c r="CW53" s="15">
        <v>42694</v>
      </c>
      <c r="CX53" s="15">
        <v>4556</v>
      </c>
      <c r="CY53" s="15">
        <v>0</v>
      </c>
      <c r="CZ53" s="15">
        <v>2509</v>
      </c>
      <c r="DA53" s="19">
        <v>0</v>
      </c>
      <c r="DB53" s="19">
        <v>0</v>
      </c>
      <c r="DC53" s="19">
        <v>0.1055873995201202</v>
      </c>
      <c r="DD53" s="19">
        <v>9.954915723331792E-2</v>
      </c>
      <c r="DE53" s="19">
        <v>0.28613908974241287</v>
      </c>
      <c r="DF53" s="19">
        <v>0.29265899017247965</v>
      </c>
      <c r="DG53" s="19">
        <v>0.2160653633316694</v>
      </c>
      <c r="DH53" s="15">
        <v>1591.0000000000016</v>
      </c>
      <c r="DI53" s="15">
        <v>466105.12719677208</v>
      </c>
      <c r="DJ53" s="15">
        <v>376765.12719677202</v>
      </c>
      <c r="DK53" s="15">
        <v>496003.99999999994</v>
      </c>
      <c r="DL53" s="18">
        <v>0.10459279329406214</v>
      </c>
      <c r="DM53" s="15">
        <v>331239.30191560392</v>
      </c>
      <c r="DN53" s="15">
        <v>272511.49237497081</v>
      </c>
      <c r="DO53" s="15">
        <v>38614.045297361219</v>
      </c>
      <c r="DP53" s="15">
        <v>5726.6362162528194</v>
      </c>
      <c r="DQ53" s="15">
        <v>10464.236105521275</v>
      </c>
      <c r="DR53" s="15">
        <v>3922.8919214978396</v>
      </c>
      <c r="DS53" s="15">
        <v>346390.30191560392</v>
      </c>
      <c r="DT53" s="18">
        <f t="shared" si="4"/>
        <v>0.23329952649873129</v>
      </c>
      <c r="DU53" s="18">
        <f t="shared" si="5"/>
        <v>0.19840478029027273</v>
      </c>
      <c r="DV53" s="18">
        <f t="shared" si="6"/>
        <v>4.4887582771245646E-2</v>
      </c>
      <c r="DW53" s="18">
        <f t="shared" si="7"/>
        <v>-4.7134997849337133E-2</v>
      </c>
      <c r="DX53" s="18">
        <f t="shared" si="8"/>
        <v>8.2790624641598476E-2</v>
      </c>
      <c r="DY53" s="18">
        <f t="shared" si="9"/>
        <v>0.30097075442765547</v>
      </c>
      <c r="DZ53" s="18">
        <f t="shared" si="10"/>
        <v>-8.9090812787102333E-2</v>
      </c>
      <c r="EA53" s="18">
        <f t="shared" si="11"/>
        <v>0.16280241091207812</v>
      </c>
      <c r="EB53" s="18">
        <f t="shared" si="12"/>
        <v>0.11307013109485779</v>
      </c>
      <c r="EC53" s="18">
        <f t="shared" si="13"/>
        <v>0.66662697547323091</v>
      </c>
      <c r="ED53" s="18">
        <f t="shared" si="14"/>
        <v>8.5327637696825179E-2</v>
      </c>
      <c r="EE53" s="18">
        <f t="shared" si="15"/>
        <v>4.975555697950243E-2</v>
      </c>
      <c r="EF53" s="18">
        <f t="shared" si="16"/>
        <v>1.6820519019884673E-2</v>
      </c>
      <c r="EG53" s="18">
        <f t="shared" si="17"/>
        <v>0.10577872398437693</v>
      </c>
      <c r="EH53" s="18">
        <f t="shared" si="18"/>
        <v>3.6851333758759999E-2</v>
      </c>
      <c r="EI53" s="18">
        <f t="shared" si="19"/>
        <v>3.3030566286618254E-2</v>
      </c>
      <c r="EJ53" s="18">
        <f t="shared" si="20"/>
        <v>2.6328211660272344E-2</v>
      </c>
      <c r="EK53" s="18">
        <f t="shared" si="21"/>
        <v>-1.7308328158643884E-2</v>
      </c>
      <c r="EL53" s="18">
        <f t="shared" si="22"/>
        <v>-1.3080539673067154E-2</v>
      </c>
      <c r="EM53" s="6">
        <v>6.5323456159397155</v>
      </c>
      <c r="EN53" s="6">
        <v>6.8572960654199342</v>
      </c>
      <c r="EO53" s="6">
        <v>7.702339104710239</v>
      </c>
      <c r="EP53" s="6">
        <v>6.4989810215259203</v>
      </c>
      <c r="EQ53" s="14">
        <v>112450.2</v>
      </c>
      <c r="ER53" s="14">
        <v>17089.21</v>
      </c>
      <c r="ES53" s="15">
        <v>183742</v>
      </c>
      <c r="ET53" s="15">
        <v>69997.277539357485</v>
      </c>
      <c r="EU53" s="15">
        <v>1.1499999999999999</v>
      </c>
      <c r="EV53" s="6">
        <v>4800</v>
      </c>
      <c r="EW53" s="6">
        <v>0.06</v>
      </c>
      <c r="EX53" s="16">
        <v>5.4946035867889299E-2</v>
      </c>
      <c r="EY53" s="16">
        <f t="shared" si="23"/>
        <v>5.0539641321106984E-3</v>
      </c>
      <c r="EZ53" s="6">
        <v>0</v>
      </c>
      <c r="FA53" s="17"/>
      <c r="FB53" s="17"/>
      <c r="FC53" s="17"/>
      <c r="GJ53" s="6">
        <v>0.23353352725286522</v>
      </c>
      <c r="GK53" s="6">
        <f t="shared" si="24"/>
        <v>0.44911850660324648</v>
      </c>
    </row>
    <row r="54" spans="1:193" ht="15">
      <c r="A54" s="12">
        <v>1962</v>
      </c>
      <c r="B54" s="13">
        <v>0.88011298451657105</v>
      </c>
      <c r="C54" s="15">
        <f t="shared" si="0"/>
        <v>1749271.0244512432</v>
      </c>
      <c r="D54" s="15">
        <v>418738.03169740149</v>
      </c>
      <c r="E54" s="15">
        <v>31668.821198385391</v>
      </c>
      <c r="F54" s="15">
        <v>304576.42650949687</v>
      </c>
      <c r="G54" s="15">
        <v>2753.1016853169044</v>
      </c>
      <c r="H54" s="15">
        <v>15255.499999999955</v>
      </c>
      <c r="I54" s="15">
        <v>277913</v>
      </c>
      <c r="J54" s="15">
        <v>199718.04343910445</v>
      </c>
      <c r="K54" s="15">
        <v>78194.956560895545</v>
      </c>
      <c r="L54" s="15">
        <v>0</v>
      </c>
      <c r="M54" s="15">
        <v>146401</v>
      </c>
      <c r="N54" s="15">
        <v>-161166.99999999997</v>
      </c>
      <c r="O54" s="15">
        <v>-36411.500000000007</v>
      </c>
      <c r="P54" s="15">
        <v>522107.99999999994</v>
      </c>
      <c r="Q54" s="15">
        <v>0</v>
      </c>
      <c r="R54" s="15">
        <v>200997.5</v>
      </c>
      <c r="S54" s="15">
        <v>0.14889137551907244</v>
      </c>
      <c r="T54" s="15">
        <v>-84204.000000000015</v>
      </c>
      <c r="U54" s="15">
        <v>74230.643360642658</v>
      </c>
      <c r="V54" s="15">
        <v>1350.6499999999999</v>
      </c>
      <c r="W54" s="15">
        <v>902.79360322228536</v>
      </c>
      <c r="X54" s="15">
        <v>206.8444386944814</v>
      </c>
      <c r="Y54" s="15">
        <v>166.69966056097365</v>
      </c>
      <c r="Z54" s="15">
        <v>166.69966056097365</v>
      </c>
      <c r="AA54" s="15">
        <v>539921.4929028867</v>
      </c>
      <c r="AB54" s="15">
        <v>23296</v>
      </c>
      <c r="AC54" s="15">
        <v>15197.168722004468</v>
      </c>
      <c r="AD54" s="15">
        <v>7642.148565954978</v>
      </c>
      <c r="AE54" s="15">
        <v>-545.86775471107001</v>
      </c>
      <c r="AF54" s="15">
        <v>8922</v>
      </c>
      <c r="AG54" s="15">
        <v>10035.999999999998</v>
      </c>
      <c r="AH54" s="15">
        <v>144068.94243613514</v>
      </c>
      <c r="AI54" s="15">
        <v>35731</v>
      </c>
      <c r="AJ54" s="15">
        <v>26909.205490693428</v>
      </c>
      <c r="AK54" s="15">
        <v>8821.7945093065755</v>
      </c>
      <c r="AL54" s="15">
        <f t="shared" si="1"/>
        <v>59661.715770313516</v>
      </c>
      <c r="AM54" s="15">
        <v>59661.715770313516</v>
      </c>
      <c r="AN54" s="15">
        <v>0</v>
      </c>
      <c r="AO54" s="15">
        <v>26362.974000818624</v>
      </c>
      <c r="AP54" s="15">
        <v>17057.696800134916</v>
      </c>
      <c r="AQ54" s="15">
        <v>8014.153913324948</v>
      </c>
      <c r="AR54" s="15">
        <f t="shared" si="25"/>
        <v>9043.542886809968</v>
      </c>
      <c r="AS54" s="15">
        <v>14789.275053624187</v>
      </c>
      <c r="AT54" s="15">
        <v>4263.9639998207876</v>
      </c>
      <c r="AU54" s="15">
        <f t="shared" si="2"/>
        <v>10525.3110538034</v>
      </c>
      <c r="AV54" s="15">
        <v>-9703.9999999999964</v>
      </c>
      <c r="AW54" s="15">
        <v>-6926</v>
      </c>
      <c r="AX54" s="15">
        <v>395852.55046675156</v>
      </c>
      <c r="AY54" s="15">
        <v>332202</v>
      </c>
      <c r="AZ54" s="15">
        <v>41197.831277995523</v>
      </c>
      <c r="BA54" s="15">
        <v>9644.6977343055241</v>
      </c>
      <c r="BB54" s="15">
        <f t="shared" si="26"/>
        <v>31553.133543689997</v>
      </c>
      <c r="BC54" s="15">
        <v>24179.851434045027</v>
      </c>
      <c r="BD54" s="15">
        <v>-1727.1322452889301</v>
      </c>
      <c r="BE54" s="15">
        <f t="shared" si="3"/>
        <v>31822.000000000007</v>
      </c>
      <c r="BF54" s="15">
        <v>299359</v>
      </c>
      <c r="BG54" s="15">
        <v>32843.000000000015</v>
      </c>
      <c r="BH54" s="15">
        <v>11327.454406714993</v>
      </c>
      <c r="BI54" s="15">
        <v>982.54559328500557</v>
      </c>
      <c r="BJ54" s="15">
        <v>0</v>
      </c>
      <c r="BK54" s="15">
        <v>4340</v>
      </c>
      <c r="BL54" s="15">
        <v>774.79420068676075</v>
      </c>
      <c r="BM54" s="15">
        <v>67.205799313239226</v>
      </c>
      <c r="BN54" s="15">
        <v>0</v>
      </c>
      <c r="BO54" s="15">
        <v>521242.31523323205</v>
      </c>
      <c r="BP54" s="15">
        <v>33281.473684210527</v>
      </c>
      <c r="BQ54" s="15">
        <v>6588.7039854441209</v>
      </c>
      <c r="BR54" s="15">
        <v>16719</v>
      </c>
      <c r="BS54" s="15">
        <v>4471.9999999999982</v>
      </c>
      <c r="BT54" s="15">
        <v>15686</v>
      </c>
      <c r="BU54" s="15">
        <v>3182</v>
      </c>
      <c r="BV54" s="15">
        <v>1931</v>
      </c>
      <c r="BW54" s="15">
        <v>14</v>
      </c>
      <c r="BX54" s="15">
        <v>549.99999999999966</v>
      </c>
      <c r="BY54" s="15">
        <v>4573</v>
      </c>
      <c r="BZ54" s="15">
        <v>4303.0000000000018</v>
      </c>
      <c r="CA54" s="15">
        <v>1288</v>
      </c>
      <c r="CB54" s="15">
        <v>520</v>
      </c>
      <c r="CC54" s="15">
        <v>0</v>
      </c>
      <c r="CD54" s="15">
        <v>0</v>
      </c>
      <c r="CE54" s="15">
        <v>0</v>
      </c>
      <c r="CF54" s="15">
        <v>1443</v>
      </c>
      <c r="CG54" s="15">
        <v>1443</v>
      </c>
      <c r="CH54" s="15">
        <v>97690</v>
      </c>
      <c r="CI54" s="15">
        <v>18567</v>
      </c>
      <c r="CJ54" s="15">
        <v>944.50709711323168</v>
      </c>
      <c r="CK54" s="15">
        <v>6947.9999999999991</v>
      </c>
      <c r="CL54" s="15">
        <v>147386</v>
      </c>
      <c r="CM54" s="15">
        <v>108009</v>
      </c>
      <c r="CN54" s="15">
        <v>18281.000000000011</v>
      </c>
      <c r="CO54" s="15">
        <v>-1376.000000000003</v>
      </c>
      <c r="CP54" s="15">
        <v>13466.473684210527</v>
      </c>
      <c r="CQ54" s="15">
        <v>11182</v>
      </c>
      <c r="CR54" s="15">
        <v>15789.473684210527</v>
      </c>
      <c r="CS54" s="15">
        <v>15000</v>
      </c>
      <c r="CT54" s="15">
        <v>789.47368421052715</v>
      </c>
      <c r="CU54" s="15">
        <v>4212</v>
      </c>
      <c r="CV54" s="15">
        <v>14840.971636641762</v>
      </c>
      <c r="CW54" s="15">
        <v>46529</v>
      </c>
      <c r="CX54" s="15">
        <v>5026</v>
      </c>
      <c r="CY54" s="15">
        <v>0</v>
      </c>
      <c r="CZ54" s="15">
        <v>2638</v>
      </c>
      <c r="DA54" s="19">
        <v>0</v>
      </c>
      <c r="DB54" s="19">
        <v>0</v>
      </c>
      <c r="DC54" s="19">
        <v>0.11722897828074008</v>
      </c>
      <c r="DD54" s="19">
        <v>0.10071901534521355</v>
      </c>
      <c r="DE54" s="19">
        <v>0.28877061758728451</v>
      </c>
      <c r="DF54" s="19">
        <v>0.2917015746180579</v>
      </c>
      <c r="DG54" s="19">
        <v>0.20157981416870419</v>
      </c>
      <c r="DH54" s="15">
        <v>1624.9999999999991</v>
      </c>
      <c r="DI54" s="15">
        <v>501630.31523323205</v>
      </c>
      <c r="DJ54" s="15">
        <v>403940.31523323205</v>
      </c>
      <c r="DK54" s="15">
        <v>533918</v>
      </c>
      <c r="DL54" s="18">
        <v>0.10476804051308078</v>
      </c>
      <c r="DM54" s="15">
        <v>353004.52743343828</v>
      </c>
      <c r="DN54" s="15">
        <v>289559.28447482898</v>
      </c>
      <c r="DO54" s="15">
        <v>40763.790127793909</v>
      </c>
      <c r="DP54" s="15">
        <v>7202.8483363130217</v>
      </c>
      <c r="DQ54" s="15">
        <v>11410.580717138213</v>
      </c>
      <c r="DR54" s="15">
        <v>4068.0237773642098</v>
      </c>
      <c r="DS54" s="15">
        <v>364330.52743343828</v>
      </c>
      <c r="DT54" s="18">
        <f t="shared" si="4"/>
        <v>0.23937859019231289</v>
      </c>
      <c r="DU54" s="18">
        <f t="shared" si="5"/>
        <v>0.20251513026938214</v>
      </c>
      <c r="DV54" s="18">
        <f t="shared" si="6"/>
        <v>4.2435187185433001E-2</v>
      </c>
      <c r="DW54" s="18">
        <f t="shared" si="7"/>
        <v>-4.8136623097850322E-2</v>
      </c>
      <c r="DX54" s="18">
        <f t="shared" si="8"/>
        <v>8.3692577052733655E-2</v>
      </c>
      <c r="DY54" s="18">
        <f t="shared" si="9"/>
        <v>0.29847175920826124</v>
      </c>
      <c r="DZ54" s="18">
        <f t="shared" si="10"/>
        <v>-9.2133807595972173E-2</v>
      </c>
      <c r="EA54" s="18">
        <f t="shared" si="11"/>
        <v>0.15887360855770361</v>
      </c>
      <c r="EB54" s="18">
        <f t="shared" si="12"/>
        <v>0.11490357822799592</v>
      </c>
      <c r="EC54" s="18">
        <f t="shared" si="13"/>
        <v>0.66248758754252302</v>
      </c>
      <c r="ED54" s="18">
        <f t="shared" si="14"/>
        <v>8.2157999817409746E-2</v>
      </c>
      <c r="EE54" s="18">
        <f t="shared" si="15"/>
        <v>5.0399509832396411E-2</v>
      </c>
      <c r="EF54" s="18">
        <f t="shared" si="16"/>
        <v>1.6522751638466161E-2</v>
      </c>
      <c r="EG54" s="18">
        <f t="shared" si="17"/>
        <v>0.11174321856598488</v>
      </c>
      <c r="EH54" s="18">
        <f t="shared" si="18"/>
        <v>3.8132224607396369E-2</v>
      </c>
      <c r="EI54" s="18">
        <f t="shared" si="19"/>
        <v>3.194815833168186E-2</v>
      </c>
      <c r="EJ54" s="18">
        <f t="shared" si="20"/>
        <v>2.7699525121131312E-2</v>
      </c>
      <c r="EK54" s="18">
        <f t="shared" si="21"/>
        <v>-1.8175075573402651E-2</v>
      </c>
      <c r="EL54" s="18">
        <f t="shared" si="22"/>
        <v>-1.2972029412756266E-2</v>
      </c>
      <c r="EM54" s="6">
        <v>6.4540349548867439</v>
      </c>
      <c r="EN54" s="6">
        <v>6.7683757856434008</v>
      </c>
      <c r="EO54" s="6">
        <v>7.6258258023455641</v>
      </c>
      <c r="EP54" s="6">
        <v>6.423706408158127</v>
      </c>
      <c r="EQ54" s="14">
        <v>113753.9</v>
      </c>
      <c r="ER54" s="14">
        <v>17456.602999999999</v>
      </c>
      <c r="ES54" s="15">
        <v>186590</v>
      </c>
      <c r="ET54" s="15">
        <v>73684</v>
      </c>
      <c r="EU54" s="15">
        <v>1.1499999999999999</v>
      </c>
      <c r="EV54" s="6">
        <v>4800</v>
      </c>
      <c r="EW54" s="6">
        <v>6.25E-2</v>
      </c>
      <c r="EX54" s="16">
        <v>5.7511446012972152E-2</v>
      </c>
      <c r="EY54" s="16">
        <f t="shared" si="23"/>
        <v>4.9885539870278481E-3</v>
      </c>
      <c r="EZ54" s="6">
        <v>0</v>
      </c>
      <c r="FA54" s="17"/>
      <c r="FB54" s="17"/>
      <c r="FC54" s="17"/>
      <c r="GJ54" s="6">
        <v>0.222902719212411</v>
      </c>
      <c r="GK54" s="6">
        <f t="shared" si="24"/>
        <v>0.44911850660324648</v>
      </c>
    </row>
    <row r="55" spans="1:193" ht="15">
      <c r="A55" s="12">
        <v>1963</v>
      </c>
      <c r="B55" s="13">
        <v>0.88240484034756106</v>
      </c>
      <c r="C55" s="15">
        <f t="shared" si="0"/>
        <v>1808036.9075798732</v>
      </c>
      <c r="D55" s="15">
        <v>425638.68742979306</v>
      </c>
      <c r="E55" s="15">
        <v>31466.824784939126</v>
      </c>
      <c r="F55" s="15">
        <v>331289.11183295806</v>
      </c>
      <c r="G55" s="15">
        <v>2981.6408165899416</v>
      </c>
      <c r="H55" s="15">
        <v>15861.50000000012</v>
      </c>
      <c r="I55" s="15">
        <v>285643.5</v>
      </c>
      <c r="J55" s="15">
        <v>206882.41854927331</v>
      </c>
      <c r="K55" s="15">
        <v>78761.081450726662</v>
      </c>
      <c r="L55" s="15">
        <v>0</v>
      </c>
      <c r="M55" s="15">
        <v>150013</v>
      </c>
      <c r="N55" s="15">
        <v>-176706.5</v>
      </c>
      <c r="O55" s="15">
        <v>-40669.5</v>
      </c>
      <c r="P55" s="15">
        <v>543205</v>
      </c>
      <c r="Q55" s="15">
        <v>0</v>
      </c>
      <c r="R55" s="15">
        <v>215374.00000000003</v>
      </c>
      <c r="S55" s="15">
        <v>0.153991506221411</v>
      </c>
      <c r="T55" s="15">
        <v>-93394</v>
      </c>
      <c r="U55" s="15">
        <v>76664.142715592912</v>
      </c>
      <c r="V55" s="15">
        <v>1353.8477043226915</v>
      </c>
      <c r="W55" s="15">
        <v>1022.2676205330001</v>
      </c>
      <c r="X55" s="15">
        <v>241.45700934867403</v>
      </c>
      <c r="Y55" s="15">
        <v>195.27862374247442</v>
      </c>
      <c r="Z55" s="15">
        <v>195.27862374247442</v>
      </c>
      <c r="AA55" s="15">
        <v>571885.17483232031</v>
      </c>
      <c r="AB55" s="15">
        <v>25491</v>
      </c>
      <c r="AC55" s="15">
        <v>15612.776516664973</v>
      </c>
      <c r="AD55" s="15">
        <v>8326.5999651791954</v>
      </c>
      <c r="AE55" s="15">
        <v>-547.83166903873746</v>
      </c>
      <c r="AF55" s="15">
        <v>9819</v>
      </c>
      <c r="AG55" s="15">
        <v>10426.000000000002</v>
      </c>
      <c r="AH55" s="15">
        <v>155520.71964512576</v>
      </c>
      <c r="AI55" s="15">
        <v>38220</v>
      </c>
      <c r="AJ55" s="15">
        <v>28764.920249286988</v>
      </c>
      <c r="AK55" s="15">
        <v>9455.0797507130137</v>
      </c>
      <c r="AL55" s="15">
        <f t="shared" si="1"/>
        <v>65219.394505445322</v>
      </c>
      <c r="AM55" s="15">
        <v>65219.394505445322</v>
      </c>
      <c r="AN55" s="15">
        <v>0</v>
      </c>
      <c r="AO55" s="15">
        <v>28818.200020962064</v>
      </c>
      <c r="AP55" s="15">
        <v>17552.170619445093</v>
      </c>
      <c r="AQ55" s="15">
        <v>8323.9660072136885</v>
      </c>
      <c r="AR55" s="15">
        <f t="shared" si="25"/>
        <v>9228.2046122314041</v>
      </c>
      <c r="AS55" s="15">
        <v>16540.186203132853</v>
      </c>
      <c r="AT55" s="15">
        <v>5081.8952407645875</v>
      </c>
      <c r="AU55" s="15">
        <f t="shared" si="2"/>
        <v>11458.290962368264</v>
      </c>
      <c r="AV55" s="15">
        <v>-10705.000000000002</v>
      </c>
      <c r="AW55" s="15">
        <v>-7903.0000000000009</v>
      </c>
      <c r="AX55" s="15">
        <v>416364.45518719457</v>
      </c>
      <c r="AY55" s="15">
        <v>350408</v>
      </c>
      <c r="AZ55" s="15">
        <v>42014.223483335016</v>
      </c>
      <c r="BA55" s="15">
        <v>9907.7295499949214</v>
      </c>
      <c r="BB55" s="15">
        <f t="shared" si="26"/>
        <v>32106.493933340094</v>
      </c>
      <c r="BC55" s="15">
        <v>25628.400034820799</v>
      </c>
      <c r="BD55" s="15">
        <v>-1686.1683309612624</v>
      </c>
      <c r="BE55" s="15">
        <f t="shared" si="3"/>
        <v>33954.999999999993</v>
      </c>
      <c r="BF55" s="15">
        <v>314851</v>
      </c>
      <c r="BG55" s="15">
        <v>35557.000000000015</v>
      </c>
      <c r="BH55" s="15">
        <v>13748.868797953965</v>
      </c>
      <c r="BI55" s="15">
        <v>1039.1312020460357</v>
      </c>
      <c r="BJ55" s="15">
        <v>0</v>
      </c>
      <c r="BK55" s="15">
        <v>4280</v>
      </c>
      <c r="BL55" s="15">
        <v>821.88260869565215</v>
      </c>
      <c r="BM55" s="15">
        <v>62.117391304347819</v>
      </c>
      <c r="BN55" s="15">
        <v>0</v>
      </c>
      <c r="BO55" s="15">
        <v>550023.57889964222</v>
      </c>
      <c r="BP55" s="15">
        <v>36794.105263157893</v>
      </c>
      <c r="BQ55" s="15">
        <v>7556.4906695202626</v>
      </c>
      <c r="BR55" s="15">
        <v>17989</v>
      </c>
      <c r="BS55" s="15">
        <v>4500</v>
      </c>
      <c r="BT55" s="15">
        <v>16726</v>
      </c>
      <c r="BU55" s="15">
        <v>3061</v>
      </c>
      <c r="BV55" s="15">
        <v>2013</v>
      </c>
      <c r="BW55" s="15">
        <v>26</v>
      </c>
      <c r="BX55" s="15">
        <v>577.99999999999966</v>
      </c>
      <c r="BY55" s="15">
        <v>4750</v>
      </c>
      <c r="BZ55" s="15">
        <v>4466.9999999999982</v>
      </c>
      <c r="CA55" s="15">
        <v>1356</v>
      </c>
      <c r="CB55" s="15">
        <v>494</v>
      </c>
      <c r="CC55" s="15">
        <v>0</v>
      </c>
      <c r="CD55" s="15">
        <v>0</v>
      </c>
      <c r="CE55" s="15">
        <v>0</v>
      </c>
      <c r="CF55" s="15">
        <v>1679</v>
      </c>
      <c r="CG55" s="15">
        <v>1679</v>
      </c>
      <c r="CH55" s="15">
        <v>102755</v>
      </c>
      <c r="CI55" s="15">
        <v>20260</v>
      </c>
      <c r="CJ55" s="15">
        <v>1015.8251676796581</v>
      </c>
      <c r="CK55" s="15">
        <v>7557.0000000000018</v>
      </c>
      <c r="CL55" s="15">
        <v>158796.99999999997</v>
      </c>
      <c r="CM55" s="15">
        <v>113651</v>
      </c>
      <c r="CN55" s="15">
        <v>23142.999999999964</v>
      </c>
      <c r="CO55" s="15">
        <v>164.99999999999739</v>
      </c>
      <c r="CP55" s="15">
        <v>14140.105263157893</v>
      </c>
      <c r="CQ55" s="15">
        <v>12405</v>
      </c>
      <c r="CR55" s="15">
        <v>16842.105263157893</v>
      </c>
      <c r="CS55" s="15">
        <v>15999.999999999998</v>
      </c>
      <c r="CT55" s="15">
        <v>842.10526315789548</v>
      </c>
      <c r="CU55" s="15">
        <v>4577</v>
      </c>
      <c r="CV55" s="15">
        <v>14299.64164239226</v>
      </c>
      <c r="CW55" s="15">
        <v>49138</v>
      </c>
      <c r="CX55" s="15">
        <v>5414</v>
      </c>
      <c r="CY55" s="15">
        <v>0</v>
      </c>
      <c r="CZ55" s="15">
        <v>2885</v>
      </c>
      <c r="DA55" s="19">
        <v>0</v>
      </c>
      <c r="DB55" s="19">
        <v>0</v>
      </c>
      <c r="DC55" s="19">
        <v>0.12887055704135975</v>
      </c>
      <c r="DD55" s="19">
        <v>0.10188887345710929</v>
      </c>
      <c r="DE55" s="19">
        <v>0.29140214543215603</v>
      </c>
      <c r="DF55" s="19">
        <v>0.29074415906363615</v>
      </c>
      <c r="DG55" s="19">
        <v>0.18709426500573903</v>
      </c>
      <c r="DH55" s="15">
        <v>1716.9999999999961</v>
      </c>
      <c r="DI55" s="15">
        <v>527063.5788996421</v>
      </c>
      <c r="DJ55" s="15">
        <v>424308.57889964222</v>
      </c>
      <c r="DK55" s="15">
        <v>565343.99999999988</v>
      </c>
      <c r="DL55" s="18">
        <v>0.10926356973058637</v>
      </c>
      <c r="DM55" s="15">
        <v>372880.64844866132</v>
      </c>
      <c r="DN55" s="15">
        <v>306226.34684213495</v>
      </c>
      <c r="DO55" s="15">
        <v>41087.996994360299</v>
      </c>
      <c r="DP55" s="15">
        <v>9277.1348876292177</v>
      </c>
      <c r="DQ55" s="15">
        <v>12286.063864970394</v>
      </c>
      <c r="DR55" s="15">
        <v>4003.1058595664508</v>
      </c>
      <c r="DS55" s="15">
        <v>385710.64844866126</v>
      </c>
      <c r="DT55" s="18">
        <f t="shared" si="4"/>
        <v>0.23541482236639005</v>
      </c>
      <c r="DU55" s="18">
        <f t="shared" si="5"/>
        <v>0.21105712822271544</v>
      </c>
      <c r="DV55" s="18">
        <f t="shared" si="6"/>
        <v>4.2401868232994654E-2</v>
      </c>
      <c r="DW55" s="18">
        <f t="shared" si="7"/>
        <v>-5.1654918994442127E-2</v>
      </c>
      <c r="DX55" s="18">
        <f t="shared" si="8"/>
        <v>8.2970098326586791E-2</v>
      </c>
      <c r="DY55" s="18">
        <f t="shared" si="9"/>
        <v>0.30043911035372656</v>
      </c>
      <c r="DZ55" s="18">
        <f t="shared" si="10"/>
        <v>-9.7733900928232947E-2</v>
      </c>
      <c r="EA55" s="18">
        <f t="shared" si="11"/>
        <v>0.15798543647117513</v>
      </c>
      <c r="EB55" s="18">
        <f t="shared" si="12"/>
        <v>0.11912035594908646</v>
      </c>
      <c r="EC55" s="18">
        <f t="shared" si="13"/>
        <v>0.66029271655710375</v>
      </c>
      <c r="ED55" s="18">
        <f t="shared" si="14"/>
        <v>7.9169670092716332E-2</v>
      </c>
      <c r="EE55" s="18">
        <f t="shared" si="15"/>
        <v>5.0880384773318535E-2</v>
      </c>
      <c r="EF55" s="18">
        <f t="shared" si="16"/>
        <v>1.6724471738822761E-2</v>
      </c>
      <c r="EG55" s="18">
        <f t="shared" si="17"/>
        <v>0.11536231835032358</v>
      </c>
      <c r="EH55" s="18">
        <f t="shared" si="18"/>
        <v>3.9404371831383588E-2</v>
      </c>
      <c r="EI55" s="18">
        <f t="shared" si="19"/>
        <v>3.1046885824285914E-2</v>
      </c>
      <c r="EJ55" s="18">
        <f t="shared" si="20"/>
        <v>2.9256852824356243E-2</v>
      </c>
      <c r="EK55" s="18">
        <f t="shared" si="21"/>
        <v>-1.8935373860870557E-2</v>
      </c>
      <c r="EL55" s="18">
        <f t="shared" si="22"/>
        <v>-1.397909945095376E-2</v>
      </c>
      <c r="EM55" s="6">
        <v>6.3811603243917654</v>
      </c>
      <c r="EN55" s="6">
        <v>6.6852251192576615</v>
      </c>
      <c r="EO55" s="6">
        <v>7.526141804929285</v>
      </c>
      <c r="EP55" s="6">
        <v>6.3473906823412323</v>
      </c>
      <c r="EQ55" s="14">
        <v>115096.3</v>
      </c>
      <c r="ER55" s="14">
        <v>17777.656999999999</v>
      </c>
      <c r="ES55" s="15">
        <v>189300</v>
      </c>
      <c r="ET55" s="15">
        <v>74542</v>
      </c>
      <c r="EU55" s="15">
        <v>1.25</v>
      </c>
      <c r="EV55" s="6">
        <v>4800</v>
      </c>
      <c r="EW55" s="6">
        <v>7.2499999999999995E-2</v>
      </c>
      <c r="EX55" s="16">
        <v>6.7405530690537077E-2</v>
      </c>
      <c r="EY55" s="16">
        <f t="shared" si="23"/>
        <v>5.0944693094629179E-3</v>
      </c>
      <c r="EZ55" s="6">
        <v>0</v>
      </c>
      <c r="FA55" s="17"/>
      <c r="FB55" s="17"/>
      <c r="FC55" s="17"/>
      <c r="GJ55" s="6">
        <v>0.21915222188111613</v>
      </c>
      <c r="GK55" s="6">
        <f t="shared" si="24"/>
        <v>0.44911850660324648</v>
      </c>
    </row>
    <row r="56" spans="1:193" ht="15">
      <c r="A56" s="12">
        <v>1964</v>
      </c>
      <c r="B56" s="13">
        <v>0.8875418857271381</v>
      </c>
      <c r="C56" s="15">
        <f t="shared" si="0"/>
        <v>1916934.8469785061</v>
      </c>
      <c r="D56" s="15">
        <v>474049.75352674309</v>
      </c>
      <c r="E56" s="15">
        <v>32823.436619904714</v>
      </c>
      <c r="F56" s="15">
        <v>358114.88005980145</v>
      </c>
      <c r="G56" s="15">
        <v>3239.7369917726514</v>
      </c>
      <c r="H56" s="15">
        <v>16670.500000000153</v>
      </c>
      <c r="I56" s="15">
        <v>296285.5</v>
      </c>
      <c r="J56" s="15">
        <v>214671.71614356764</v>
      </c>
      <c r="K56" s="15">
        <v>81613.783856432317</v>
      </c>
      <c r="L56" s="15">
        <v>0</v>
      </c>
      <c r="M56" s="15">
        <v>152021.5</v>
      </c>
      <c r="N56" s="15">
        <v>-193720.50000000003</v>
      </c>
      <c r="O56" s="15">
        <v>-46122.5</v>
      </c>
      <c r="P56" s="15">
        <v>566539</v>
      </c>
      <c r="Q56" s="15">
        <v>0</v>
      </c>
      <c r="R56" s="15">
        <v>235221.99999999997</v>
      </c>
      <c r="S56" s="15">
        <v>0.17205858819173253</v>
      </c>
      <c r="T56" s="15">
        <v>-104654.50000000001</v>
      </c>
      <c r="U56" s="15">
        <v>80343.539780284089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613312.95650019369</v>
      </c>
      <c r="AB56" s="15">
        <v>26573</v>
      </c>
      <c r="AC56" s="15">
        <v>16408.135568042624</v>
      </c>
      <c r="AD56" s="15">
        <v>9015.3348208005864</v>
      </c>
      <c r="AE56" s="15">
        <v>-675.01231140158063</v>
      </c>
      <c r="AF56" s="15">
        <v>10709</v>
      </c>
      <c r="AG56" s="15">
        <v>10978.000000000004</v>
      </c>
      <c r="AH56" s="15">
        <v>168024.41457763527</v>
      </c>
      <c r="AI56" s="15">
        <v>40416.000000000007</v>
      </c>
      <c r="AJ56" s="15">
        <v>30393.289123775532</v>
      </c>
      <c r="AK56" s="15">
        <v>10022.710876224466</v>
      </c>
      <c r="AL56" s="15">
        <f t="shared" si="1"/>
        <v>70807.165537764653</v>
      </c>
      <c r="AM56" s="15">
        <v>70807.165537764653</v>
      </c>
      <c r="AN56" s="15">
        <v>0</v>
      </c>
      <c r="AO56" s="15">
        <v>32035.039058747636</v>
      </c>
      <c r="AP56" s="15">
        <v>18456.335217221382</v>
      </c>
      <c r="AQ56" s="15">
        <v>8853.8828649050902</v>
      </c>
      <c r="AR56" s="15">
        <f t="shared" si="25"/>
        <v>9602.4523523162916</v>
      </c>
      <c r="AS56" s="15">
        <v>18746.552254502632</v>
      </c>
      <c r="AT56" s="15">
        <v>6045.1569070026299</v>
      </c>
      <c r="AU56" s="15">
        <f t="shared" si="2"/>
        <v>12701.395347500002</v>
      </c>
      <c r="AV56" s="15">
        <v>-11880</v>
      </c>
      <c r="AW56" s="15">
        <v>-8897.0000000000018</v>
      </c>
      <c r="AX56" s="15">
        <v>445288.54192255833</v>
      </c>
      <c r="AY56" s="15">
        <v>375975</v>
      </c>
      <c r="AZ56" s="15">
        <v>43934.864431957372</v>
      </c>
      <c r="BA56" s="15">
        <v>10580.42244757291</v>
      </c>
      <c r="BB56" s="15">
        <f t="shared" si="26"/>
        <v>33354.441984384466</v>
      </c>
      <c r="BC56" s="15">
        <v>27432.665179199408</v>
      </c>
      <c r="BD56" s="15">
        <v>-2053.9876885984195</v>
      </c>
      <c r="BE56" s="15">
        <f t="shared" si="3"/>
        <v>36447.999999999993</v>
      </c>
      <c r="BF56" s="15">
        <v>337788</v>
      </c>
      <c r="BG56" s="15">
        <v>38187.000000000015</v>
      </c>
      <c r="BH56" s="15">
        <v>14462.234400047497</v>
      </c>
      <c r="BI56" s="15">
        <v>1063.7655999525025</v>
      </c>
      <c r="BJ56" s="15">
        <v>0</v>
      </c>
      <c r="BK56" s="15">
        <v>4038.0000000000005</v>
      </c>
      <c r="BL56" s="15">
        <v>938.00528409428239</v>
      </c>
      <c r="BM56" s="15">
        <v>68.994715905717499</v>
      </c>
      <c r="BN56" s="15">
        <v>0</v>
      </c>
      <c r="BO56" s="15">
        <v>588638.99431512295</v>
      </c>
      <c r="BP56" s="15">
        <v>39202.57894736842</v>
      </c>
      <c r="BQ56" s="15">
        <v>8934.383237702099</v>
      </c>
      <c r="BR56" s="15">
        <v>19128.999999999996</v>
      </c>
      <c r="BS56" s="15">
        <v>4334</v>
      </c>
      <c r="BT56" s="15">
        <v>17569</v>
      </c>
      <c r="BU56" s="15">
        <v>2776</v>
      </c>
      <c r="BV56" s="15">
        <v>2051</v>
      </c>
      <c r="BW56" s="15">
        <v>28</v>
      </c>
      <c r="BX56" s="15">
        <v>597.00000000000171</v>
      </c>
      <c r="BY56" s="15">
        <v>4632</v>
      </c>
      <c r="BZ56" s="15">
        <v>4692.0000000000018</v>
      </c>
      <c r="CA56" s="15">
        <v>1500</v>
      </c>
      <c r="CB56" s="15">
        <v>516</v>
      </c>
      <c r="CC56" s="15">
        <v>0</v>
      </c>
      <c r="CD56" s="15">
        <v>0</v>
      </c>
      <c r="CE56" s="15">
        <v>0</v>
      </c>
      <c r="CF56" s="15">
        <v>2017.9999999999998</v>
      </c>
      <c r="CG56" s="15">
        <v>2017.9999999999998</v>
      </c>
      <c r="CH56" s="15">
        <v>108372</v>
      </c>
      <c r="CI56" s="15">
        <v>22264</v>
      </c>
      <c r="CJ56" s="15">
        <v>1182.0434998063326</v>
      </c>
      <c r="CK56" s="15">
        <v>7492</v>
      </c>
      <c r="CL56" s="15">
        <v>162468.00000000003</v>
      </c>
      <c r="CM56" s="15">
        <v>119714</v>
      </c>
      <c r="CN56" s="15">
        <v>19704.000000000018</v>
      </c>
      <c r="CO56" s="15">
        <v>225.99999999999909</v>
      </c>
      <c r="CP56" s="15">
        <v>15513.578947368425</v>
      </c>
      <c r="CQ56" s="15">
        <v>12631</v>
      </c>
      <c r="CR56" s="15">
        <v>18631.578947368424</v>
      </c>
      <c r="CS56" s="15">
        <v>17700.000000000004</v>
      </c>
      <c r="CT56" s="15">
        <v>931.57894736842206</v>
      </c>
      <c r="CU56" s="15">
        <v>5208</v>
      </c>
      <c r="CV56" s="15">
        <v>13379.133615410992</v>
      </c>
      <c r="CW56" s="15">
        <v>45985</v>
      </c>
      <c r="CX56" s="15">
        <v>6084</v>
      </c>
      <c r="CY56" s="15">
        <v>0</v>
      </c>
      <c r="CZ56" s="15">
        <v>3305</v>
      </c>
      <c r="DA56" s="19">
        <v>0</v>
      </c>
      <c r="DB56" s="19">
        <v>9.0032880726953479E-4</v>
      </c>
      <c r="DC56" s="19">
        <v>0.13908757028599139</v>
      </c>
      <c r="DD56" s="19">
        <v>0.10564074446921068</v>
      </c>
      <c r="DE56" s="19">
        <v>0.28670895449022665</v>
      </c>
      <c r="DF56" s="19">
        <v>0.28429980909337416</v>
      </c>
      <c r="DG56" s="19">
        <v>0.18336259285392781</v>
      </c>
      <c r="DH56" s="15">
        <v>1815.0000000000048</v>
      </c>
      <c r="DI56" s="15">
        <v>569184.99431512307</v>
      </c>
      <c r="DJ56" s="15">
        <v>460812.99431512301</v>
      </c>
      <c r="DK56" s="15">
        <v>607003</v>
      </c>
      <c r="DL56" s="18">
        <v>0.11651107585813808</v>
      </c>
      <c r="DM56" s="15">
        <v>402491.46074611519</v>
      </c>
      <c r="DN56" s="15">
        <v>332800.7151008877</v>
      </c>
      <c r="DO56" s="15">
        <v>43342.928852965182</v>
      </c>
      <c r="DP56" s="15">
        <v>10246.045917967102</v>
      </c>
      <c r="DQ56" s="15">
        <v>12832.143776917244</v>
      </c>
      <c r="DR56" s="15">
        <v>3269.6270973779465</v>
      </c>
      <c r="DS56" s="15">
        <v>418457.46074611519</v>
      </c>
      <c r="DT56" s="18">
        <f t="shared" si="4"/>
        <v>0.24729570453265304</v>
      </c>
      <c r="DU56" s="18">
        <f t="shared" si="5"/>
        <v>0.21432577863512839</v>
      </c>
      <c r="DV56" s="18">
        <f t="shared" si="6"/>
        <v>4.1912504176614282E-2</v>
      </c>
      <c r="DW56" s="18">
        <f t="shared" si="7"/>
        <v>-5.4594708925531608E-2</v>
      </c>
      <c r="DX56" s="18">
        <f t="shared" si="8"/>
        <v>7.9304468923196828E-2</v>
      </c>
      <c r="DY56" s="18">
        <f t="shared" si="9"/>
        <v>0.2955442126230764</v>
      </c>
      <c r="DZ56" s="18">
        <f t="shared" si="10"/>
        <v>-0.10105742524600897</v>
      </c>
      <c r="EA56" s="18">
        <f t="shared" si="11"/>
        <v>0.1545621127744683</v>
      </c>
      <c r="EB56" s="18">
        <f t="shared" si="12"/>
        <v>0.12270735250640338</v>
      </c>
      <c r="EC56" s="18">
        <f t="shared" si="13"/>
        <v>0.65986066844223679</v>
      </c>
      <c r="ED56" s="18">
        <f t="shared" si="14"/>
        <v>7.7108555121990677E-2</v>
      </c>
      <c r="EE56" s="18">
        <f t="shared" si="15"/>
        <v>5.0071069045417457E-2</v>
      </c>
      <c r="EF56" s="18">
        <f t="shared" si="16"/>
        <v>1.6511797925585978E-2</v>
      </c>
      <c r="EG56" s="18">
        <f t="shared" si="17"/>
        <v>0.11665043753945969</v>
      </c>
      <c r="EH56" s="18">
        <f t="shared" si="18"/>
        <v>4.2380486683845003E-2</v>
      </c>
      <c r="EI56" s="18">
        <f t="shared" si="19"/>
        <v>3.0405673805930747E-2</v>
      </c>
      <c r="EJ56" s="18">
        <f t="shared" si="20"/>
        <v>3.0883788473043183E-2</v>
      </c>
      <c r="EK56" s="18">
        <f t="shared" si="21"/>
        <v>-1.9571567191595429E-2</v>
      </c>
      <c r="EL56" s="18">
        <f t="shared" si="22"/>
        <v>-1.4657258695591294E-2</v>
      </c>
      <c r="EM56" s="6">
        <v>6.2850998463901702</v>
      </c>
      <c r="EN56" s="6">
        <v>6.5777663473284891</v>
      </c>
      <c r="EO56" s="6">
        <v>7.4290302977689073</v>
      </c>
      <c r="EP56" s="6">
        <v>6.2570973082347168</v>
      </c>
      <c r="EQ56" s="14">
        <v>116795.9</v>
      </c>
      <c r="ER56" s="14">
        <v>18126.698</v>
      </c>
      <c r="ES56" s="15">
        <v>191927</v>
      </c>
      <c r="ET56" s="15">
        <v>75400</v>
      </c>
      <c r="EU56" s="15">
        <v>1.25</v>
      </c>
      <c r="EV56" s="6">
        <v>4800</v>
      </c>
      <c r="EW56" s="6">
        <v>7.2499999999999995E-2</v>
      </c>
      <c r="EX56" s="16">
        <v>6.7532654515228857E-2</v>
      </c>
      <c r="EY56" s="16">
        <f t="shared" si="23"/>
        <v>4.9673454847711379E-3</v>
      </c>
      <c r="EZ56" s="6">
        <v>0</v>
      </c>
      <c r="FA56" s="17"/>
      <c r="FB56" s="17"/>
      <c r="FC56" s="17"/>
      <c r="GJ56" s="6">
        <v>0.22408590327667607</v>
      </c>
      <c r="GK56" s="6">
        <f t="shared" si="24"/>
        <v>0.44911850660324648</v>
      </c>
    </row>
    <row r="57" spans="1:193" ht="15">
      <c r="A57" s="12">
        <v>1965</v>
      </c>
      <c r="B57" s="13">
        <v>0.9040250606638951</v>
      </c>
      <c r="C57" s="15">
        <f t="shared" si="0"/>
        <v>2065897.1550337216</v>
      </c>
      <c r="D57" s="15">
        <v>543597.94041396026</v>
      </c>
      <c r="E57" s="15">
        <v>34998.820324907356</v>
      </c>
      <c r="F57" s="15">
        <v>386276.60509098414</v>
      </c>
      <c r="G57" s="15">
        <v>3827.5688961079318</v>
      </c>
      <c r="H57" s="15">
        <v>17851.500000000044</v>
      </c>
      <c r="I57" s="15">
        <v>313920.5</v>
      </c>
      <c r="J57" s="15">
        <v>226830.08729027008</v>
      </c>
      <c r="K57" s="15">
        <v>87090.412709729892</v>
      </c>
      <c r="L57" s="15">
        <v>0</v>
      </c>
      <c r="M57" s="15">
        <v>157674</v>
      </c>
      <c r="N57" s="15">
        <v>-210892</v>
      </c>
      <c r="O57" s="15">
        <v>-52050.5</v>
      </c>
      <c r="P57" s="15">
        <v>592711.5</v>
      </c>
      <c r="Q57" s="15">
        <v>0</v>
      </c>
      <c r="R57" s="15">
        <v>256862.00000000003</v>
      </c>
      <c r="S57" s="15">
        <v>0.18922589340766435</v>
      </c>
      <c r="T57" s="15">
        <v>-115872.5</v>
      </c>
      <c r="U57" s="15">
        <v>84941.220307761876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665618.76078320493</v>
      </c>
      <c r="AB57" s="15">
        <v>29768</v>
      </c>
      <c r="AC57" s="15">
        <v>17473.925188396155</v>
      </c>
      <c r="AD57" s="15">
        <v>9728.025471817542</v>
      </c>
      <c r="AE57" s="15">
        <v>-763.56493327474197</v>
      </c>
      <c r="AF57" s="15">
        <v>11660</v>
      </c>
      <c r="AG57" s="15">
        <v>11527.000000000002</v>
      </c>
      <c r="AH57" s="15">
        <v>186319.14651014388</v>
      </c>
      <c r="AI57" s="15">
        <v>42984.999999999993</v>
      </c>
      <c r="AJ57" s="15">
        <v>32362.593455706297</v>
      </c>
      <c r="AK57" s="15">
        <v>10622.406544293699</v>
      </c>
      <c r="AL57" s="15">
        <f t="shared" si="1"/>
        <v>81318.573432776146</v>
      </c>
      <c r="AM57" s="15">
        <v>81318.573432776146</v>
      </c>
      <c r="AN57" s="15">
        <v>0</v>
      </c>
      <c r="AO57" s="15">
        <v>35166.528924979437</v>
      </c>
      <c r="AP57" s="15">
        <v>19617.524651963431</v>
      </c>
      <c r="AQ57" s="15">
        <v>9140.6094706303229</v>
      </c>
      <c r="AR57" s="15">
        <f t="shared" si="25"/>
        <v>10476.915181333108</v>
      </c>
      <c r="AS57" s="15">
        <v>21144.312495718979</v>
      </c>
      <c r="AT57" s="15">
        <v>7270.9703352867264</v>
      </c>
      <c r="AU57" s="15">
        <f t="shared" si="2"/>
        <v>13873.342160432254</v>
      </c>
      <c r="AV57" s="15">
        <v>-13052.999999999998</v>
      </c>
      <c r="AW57" s="15">
        <v>-9895</v>
      </c>
      <c r="AX57" s="15">
        <v>479299.61427306104</v>
      </c>
      <c r="AY57" s="15">
        <v>405414.99999999994</v>
      </c>
      <c r="AZ57" s="15">
        <v>47546.074811603845</v>
      </c>
      <c r="BA57" s="15">
        <v>10901.569324407712</v>
      </c>
      <c r="BB57" s="15">
        <f t="shared" si="26"/>
        <v>36644.505487196133</v>
      </c>
      <c r="BC57" s="15">
        <v>28581.974528182462</v>
      </c>
      <c r="BD57" s="15">
        <v>-2243.4350667252588</v>
      </c>
      <c r="BE57" s="15">
        <f t="shared" si="3"/>
        <v>38310</v>
      </c>
      <c r="BF57" s="15">
        <v>363757</v>
      </c>
      <c r="BG57" s="15">
        <v>41658.000000000015</v>
      </c>
      <c r="BH57" s="15">
        <v>15330.889625108981</v>
      </c>
      <c r="BI57" s="15">
        <v>1137.11037489102</v>
      </c>
      <c r="BJ57" s="15">
        <v>0</v>
      </c>
      <c r="BK57" s="15">
        <v>3970</v>
      </c>
      <c r="BL57" s="15">
        <v>950.50026155187436</v>
      </c>
      <c r="BM57" s="15">
        <v>70.499738448125541</v>
      </c>
      <c r="BN57" s="15">
        <v>0</v>
      </c>
      <c r="BO57" s="15">
        <v>638708.6850724254</v>
      </c>
      <c r="BP57" s="15">
        <v>42090.578947368427</v>
      </c>
      <c r="BQ57" s="15">
        <v>10463.496763411229</v>
      </c>
      <c r="BR57" s="15">
        <v>21445</v>
      </c>
      <c r="BS57" s="15">
        <v>4198.9999999999982</v>
      </c>
      <c r="BT57" s="15">
        <v>19711</v>
      </c>
      <c r="BU57" s="15">
        <v>2365</v>
      </c>
      <c r="BV57" s="15">
        <v>2098</v>
      </c>
      <c r="BW57" s="15">
        <v>45</v>
      </c>
      <c r="BX57" s="15">
        <v>686.00000000000148</v>
      </c>
      <c r="BY57" s="15">
        <v>4849</v>
      </c>
      <c r="BZ57" s="15">
        <v>5003.0000000000018</v>
      </c>
      <c r="CA57" s="15">
        <v>1650</v>
      </c>
      <c r="CB57" s="15">
        <v>524</v>
      </c>
      <c r="CC57" s="15">
        <v>0</v>
      </c>
      <c r="CD57" s="15">
        <v>0</v>
      </c>
      <c r="CE57" s="15">
        <v>0</v>
      </c>
      <c r="CF57" s="15">
        <v>2461.9999999999995</v>
      </c>
      <c r="CG57" s="15">
        <v>2461.9999999999995</v>
      </c>
      <c r="CH57" s="15">
        <v>116190</v>
      </c>
      <c r="CI57" s="15">
        <v>24848</v>
      </c>
      <c r="CJ57" s="15">
        <v>1350.2392167950825</v>
      </c>
      <c r="CK57" s="15">
        <v>8183.9999999999973</v>
      </c>
      <c r="CL57" s="15">
        <v>175952.99999999997</v>
      </c>
      <c r="CM57" s="15">
        <v>128503.99999999999</v>
      </c>
      <c r="CN57" s="15">
        <v>22390</v>
      </c>
      <c r="CO57" s="15">
        <v>-616.99999999999909</v>
      </c>
      <c r="CP57" s="15">
        <v>17063.578947368424</v>
      </c>
      <c r="CQ57" s="15">
        <v>13093</v>
      </c>
      <c r="CR57" s="15">
        <v>20631.578947368424</v>
      </c>
      <c r="CS57" s="15">
        <v>19600</v>
      </c>
      <c r="CT57" s="15">
        <v>1031.5789473684222</v>
      </c>
      <c r="CU57" s="15">
        <v>5912</v>
      </c>
      <c r="CV57" s="15">
        <v>16099.255223817818</v>
      </c>
      <c r="CW57" s="15">
        <v>51068</v>
      </c>
      <c r="CX57" s="15">
        <v>6596</v>
      </c>
      <c r="CY57" s="15">
        <v>0</v>
      </c>
      <c r="CZ57" s="15">
        <v>3608</v>
      </c>
      <c r="DA57" s="19">
        <v>0</v>
      </c>
      <c r="DB57" s="19">
        <v>1.8006576145390696E-3</v>
      </c>
      <c r="DC57" s="19">
        <v>0.14930458353062304</v>
      </c>
      <c r="DD57" s="19">
        <v>0.10939261548131207</v>
      </c>
      <c r="DE57" s="19">
        <v>0.28201576354829722</v>
      </c>
      <c r="DF57" s="19">
        <v>0.27785545912311227</v>
      </c>
      <c r="DG57" s="19">
        <v>0.17963092070211659</v>
      </c>
      <c r="DH57" s="15">
        <v>1957.000000000003</v>
      </c>
      <c r="DI57" s="15">
        <v>615725.68507242529</v>
      </c>
      <c r="DJ57" s="15">
        <v>499535.68507242535</v>
      </c>
      <c r="DK57" s="15">
        <v>658785.00000000012</v>
      </c>
      <c r="DL57" s="18">
        <v>0.11737290515300863</v>
      </c>
      <c r="DM57" s="15">
        <v>432178.62721131073</v>
      </c>
      <c r="DN57" s="15">
        <v>357935.81222832052</v>
      </c>
      <c r="DO57" s="15">
        <v>45698.0895175935</v>
      </c>
      <c r="DP57" s="15">
        <v>11449.336503730412</v>
      </c>
      <c r="DQ57" s="15">
        <v>13978.647659526496</v>
      </c>
      <c r="DR57" s="15">
        <v>3116.7413021397861</v>
      </c>
      <c r="DS57" s="15">
        <v>452695.62721131073</v>
      </c>
      <c r="DT57" s="18">
        <f t="shared" si="4"/>
        <v>0.26312923617201417</v>
      </c>
      <c r="DU57" s="18">
        <f t="shared" si="5"/>
        <v>0.21441265516664559</v>
      </c>
      <c r="DV57" s="18">
        <f t="shared" si="6"/>
        <v>4.1115899743990589E-2</v>
      </c>
      <c r="DW57" s="18">
        <f t="shared" si="7"/>
        <v>-5.6088222841910354E-2</v>
      </c>
      <c r="DX57" s="18">
        <f t="shared" si="8"/>
        <v>7.6322289140006244E-2</v>
      </c>
      <c r="DY57" s="18">
        <f t="shared" si="9"/>
        <v>0.28690271369792614</v>
      </c>
      <c r="DZ57" s="18">
        <f t="shared" si="10"/>
        <v>-0.10208252597964278</v>
      </c>
      <c r="EA57" s="18">
        <f t="shared" si="11"/>
        <v>0.15195359518991927</v>
      </c>
      <c r="EB57" s="18">
        <f t="shared" si="12"/>
        <v>0.1243343597110512</v>
      </c>
      <c r="EC57" s="18">
        <f t="shared" si="13"/>
        <v>0.65422983748500185</v>
      </c>
      <c r="ED57" s="18">
        <f t="shared" si="14"/>
        <v>7.6726467439649074E-2</v>
      </c>
      <c r="EE57" s="18">
        <f t="shared" si="15"/>
        <v>4.9124666553892839E-2</v>
      </c>
      <c r="EF57" s="18">
        <f t="shared" si="16"/>
        <v>1.6124238627615532E-2</v>
      </c>
      <c r="EG57" s="18">
        <f t="shared" si="17"/>
        <v>0.12343719640364631</v>
      </c>
      <c r="EH57" s="18">
        <f t="shared" si="18"/>
        <v>4.3007609678080885E-2</v>
      </c>
      <c r="EI57" s="18">
        <f t="shared" si="19"/>
        <v>2.9778341419375711E-2</v>
      </c>
      <c r="EJ57" s="18">
        <f t="shared" si="20"/>
        <v>3.209592279077237E-2</v>
      </c>
      <c r="EK57" s="18">
        <f t="shared" si="21"/>
        <v>-1.9813748036157465E-2</v>
      </c>
      <c r="EL57" s="18">
        <f t="shared" si="22"/>
        <v>-1.5020074834733636E-2</v>
      </c>
      <c r="EM57" s="6">
        <v>6.1724595703596439</v>
      </c>
      <c r="EN57" s="6">
        <v>6.4549182913748506</v>
      </c>
      <c r="EO57" s="6">
        <v>7.3111091819313048</v>
      </c>
      <c r="EP57" s="6">
        <v>6.1682180851063828</v>
      </c>
      <c r="EQ57" s="14">
        <v>118275.3</v>
      </c>
      <c r="ER57" s="14">
        <v>18451.393</v>
      </c>
      <c r="ES57" s="15">
        <v>194347</v>
      </c>
      <c r="ET57" s="15">
        <v>76545.5</v>
      </c>
      <c r="EU57" s="15">
        <v>1.25</v>
      </c>
      <c r="EV57" s="6">
        <v>4800</v>
      </c>
      <c r="EW57" s="6">
        <v>7.2499999999999995E-2</v>
      </c>
      <c r="EX57" s="16">
        <v>6.7493897122929386E-2</v>
      </c>
      <c r="EY57" s="16">
        <f t="shared" si="23"/>
        <v>5.006102877070609E-3</v>
      </c>
      <c r="EZ57" s="6">
        <v>0</v>
      </c>
      <c r="FA57" s="17"/>
      <c r="FB57" s="17"/>
      <c r="FC57" s="17"/>
      <c r="GJ57" s="6">
        <v>0.21555466802931467</v>
      </c>
      <c r="GK57" s="6">
        <f t="shared" si="24"/>
        <v>0.44911850660324648</v>
      </c>
    </row>
    <row r="58" spans="1:193" ht="15">
      <c r="A58" s="12">
        <v>1966</v>
      </c>
      <c r="B58" s="13">
        <v>0.92521322277228091</v>
      </c>
      <c r="C58" s="15">
        <f t="shared" si="0"/>
        <v>2164527.3001713823</v>
      </c>
      <c r="D58" s="15">
        <v>535028.37344183202</v>
      </c>
      <c r="E58" s="15">
        <v>38086.129585759663</v>
      </c>
      <c r="F58" s="15">
        <v>415419.85030314518</v>
      </c>
      <c r="G58" s="15">
        <v>4988.871953917971</v>
      </c>
      <c r="H58" s="15">
        <v>19201.500000000124</v>
      </c>
      <c r="I58" s="15">
        <v>334325.50000000006</v>
      </c>
      <c r="J58" s="15">
        <v>240896.16761373507</v>
      </c>
      <c r="K58" s="15">
        <v>93429.332386264912</v>
      </c>
      <c r="L58" s="15">
        <v>10179.415067341091</v>
      </c>
      <c r="M58" s="15">
        <v>167460.5</v>
      </c>
      <c r="N58" s="15">
        <v>-226095.50000000003</v>
      </c>
      <c r="O58" s="15">
        <v>-57185</v>
      </c>
      <c r="P58" s="15">
        <v>627286</v>
      </c>
      <c r="Q58" s="15">
        <v>0</v>
      </c>
      <c r="R58" s="15">
        <v>275480</v>
      </c>
      <c r="S58" s="15">
        <v>0.19016226603687356</v>
      </c>
      <c r="T58" s="15">
        <v>-125902.5</v>
      </c>
      <c r="U58" s="15">
        <v>89069.15981938607</v>
      </c>
      <c r="V58" s="15">
        <v>1575.0281594946587</v>
      </c>
      <c r="W58" s="15">
        <v>1368.1756100023611</v>
      </c>
      <c r="X58" s="15">
        <v>390.3459311388001</v>
      </c>
      <c r="Y58" s="15">
        <v>283.20472390215963</v>
      </c>
      <c r="Z58" s="15">
        <v>283.20472390215963</v>
      </c>
      <c r="AA58" s="15">
        <v>725417.35171410209</v>
      </c>
      <c r="AB58" s="15">
        <v>32232</v>
      </c>
      <c r="AC58" s="15">
        <v>18621.237087970305</v>
      </c>
      <c r="AD58" s="15">
        <v>9722.5657706084312</v>
      </c>
      <c r="AE58" s="15">
        <v>-982.85921124648473</v>
      </c>
      <c r="AF58" s="15">
        <v>12567.000000000002</v>
      </c>
      <c r="AG58" s="15">
        <v>11967.999999999998</v>
      </c>
      <c r="AH58" s="15">
        <v>198976.2953614342</v>
      </c>
      <c r="AI58" s="15">
        <v>45542</v>
      </c>
      <c r="AJ58" s="15">
        <v>34500.050341167545</v>
      </c>
      <c r="AK58" s="15">
        <v>11041.949658832456</v>
      </c>
      <c r="AL58" s="15">
        <f t="shared" si="1"/>
        <v>86209.064728296536</v>
      </c>
      <c r="AM58" s="15">
        <v>84938.923837954993</v>
      </c>
      <c r="AN58" s="15">
        <v>1270.1408903415499</v>
      </c>
      <c r="AO58" s="15">
        <v>38794.552139132953</v>
      </c>
      <c r="AP58" s="15">
        <v>20831.824098110068</v>
      </c>
      <c r="AQ58" s="15">
        <v>9629.8223809282699</v>
      </c>
      <c r="AR58" s="15">
        <f t="shared" si="25"/>
        <v>11202.001717181798</v>
      </c>
      <c r="AS58" s="15">
        <v>23587.147836532702</v>
      </c>
      <c r="AT58" s="15">
        <v>8316.5721299240777</v>
      </c>
      <c r="AU58" s="15">
        <f t="shared" si="2"/>
        <v>15270.575706608624</v>
      </c>
      <c r="AV58" s="15">
        <v>-14109.000000000002</v>
      </c>
      <c r="AW58" s="15">
        <v>-10619</v>
      </c>
      <c r="AX58" s="15">
        <v>526441.05635266786</v>
      </c>
      <c r="AY58" s="15">
        <v>449249</v>
      </c>
      <c r="AZ58" s="15">
        <v>50816.762912029699</v>
      </c>
      <c r="BA58" s="15">
        <v>11407.3112639109</v>
      </c>
      <c r="BB58" s="15">
        <f t="shared" si="26"/>
        <v>39409.451648118797</v>
      </c>
      <c r="BC58" s="15">
        <v>29341.434229391569</v>
      </c>
      <c r="BD58" s="15">
        <v>-2966.1407887535152</v>
      </c>
      <c r="BE58" s="15">
        <f t="shared" si="3"/>
        <v>39064</v>
      </c>
      <c r="BF58" s="15">
        <v>400321</v>
      </c>
      <c r="BG58" s="15">
        <v>48928</v>
      </c>
      <c r="BH58" s="15">
        <v>19909.368635437884</v>
      </c>
      <c r="BI58" s="15">
        <v>1940.6313645621181</v>
      </c>
      <c r="BJ58" s="15">
        <v>2041</v>
      </c>
      <c r="BK58" s="15">
        <v>3931</v>
      </c>
      <c r="BL58" s="15">
        <v>892.54336536243818</v>
      </c>
      <c r="BM58" s="15">
        <v>86.99912492308313</v>
      </c>
      <c r="BN58" s="15">
        <v>92.457509714478789</v>
      </c>
      <c r="BO58" s="15">
        <v>691255.94830992038</v>
      </c>
      <c r="BP58" s="15">
        <v>50128.963542917103</v>
      </c>
      <c r="BQ58" s="15">
        <v>11891.439861264596</v>
      </c>
      <c r="BR58" s="15">
        <v>23895.000000000004</v>
      </c>
      <c r="BS58" s="15">
        <v>3964.0000000000023</v>
      </c>
      <c r="BT58" s="15">
        <v>21520.000000000004</v>
      </c>
      <c r="BU58" s="15">
        <v>1913</v>
      </c>
      <c r="BV58" s="15">
        <v>2201</v>
      </c>
      <c r="BW58" s="15">
        <v>84</v>
      </c>
      <c r="BX58" s="15">
        <v>714.00000000000307</v>
      </c>
      <c r="BY58" s="15">
        <v>4822</v>
      </c>
      <c r="BZ58" s="15">
        <v>5407.0000000000036</v>
      </c>
      <c r="CA58" s="15">
        <v>1854</v>
      </c>
      <c r="CB58" s="15">
        <v>554</v>
      </c>
      <c r="CC58" s="15">
        <v>1008</v>
      </c>
      <c r="CD58" s="15">
        <v>1881</v>
      </c>
      <c r="CE58" s="15">
        <v>4</v>
      </c>
      <c r="CF58" s="15">
        <v>1441</v>
      </c>
      <c r="CG58" s="15">
        <v>4330</v>
      </c>
      <c r="CH58" s="15">
        <v>131877</v>
      </c>
      <c r="CI58" s="15">
        <v>28506</v>
      </c>
      <c r="CJ58" s="15">
        <v>1202.6482858980971</v>
      </c>
      <c r="CK58" s="15">
        <v>8565.9999999999964</v>
      </c>
      <c r="CL58" s="15">
        <v>197430.99999999997</v>
      </c>
      <c r="CM58" s="15">
        <v>146436</v>
      </c>
      <c r="CN58" s="15">
        <v>23636.999999999975</v>
      </c>
      <c r="CO58" s="15">
        <v>3327.5424902855216</v>
      </c>
      <c r="CP58" s="15">
        <v>18942.42105263158</v>
      </c>
      <c r="CQ58" s="15">
        <v>16846</v>
      </c>
      <c r="CR58" s="15">
        <v>23368.42105263158</v>
      </c>
      <c r="CS58" s="15">
        <v>22200</v>
      </c>
      <c r="CT58" s="15">
        <v>1168.4210526315799</v>
      </c>
      <c r="CU58" s="15">
        <v>6434</v>
      </c>
      <c r="CV58" s="15">
        <v>19470.171607665765</v>
      </c>
      <c r="CW58" s="15">
        <v>58602</v>
      </c>
      <c r="CX58" s="15">
        <v>7776</v>
      </c>
      <c r="CY58" s="15">
        <v>0</v>
      </c>
      <c r="CZ58" s="15">
        <v>3886</v>
      </c>
      <c r="DA58" s="19">
        <v>0</v>
      </c>
      <c r="DB58" s="19">
        <v>2.7009864218083823E-3</v>
      </c>
      <c r="DC58" s="19">
        <v>0.15952159677525468</v>
      </c>
      <c r="DD58" s="19">
        <v>0.11314448649341347</v>
      </c>
      <c r="DE58" s="19">
        <v>0.27732257260636783</v>
      </c>
      <c r="DF58" s="19">
        <v>0.27141110915285027</v>
      </c>
      <c r="DG58" s="19">
        <v>0.17589924855030536</v>
      </c>
      <c r="DH58" s="15">
        <v>4575.4575097144743</v>
      </c>
      <c r="DI58" s="15">
        <v>670970.49080020608</v>
      </c>
      <c r="DJ58" s="15">
        <v>539093.49080020608</v>
      </c>
      <c r="DK58" s="15">
        <v>718054.00000000023</v>
      </c>
      <c r="DL58" s="18">
        <v>0.11717268212796651</v>
      </c>
      <c r="DM58" s="15">
        <v>470773.91622465447</v>
      </c>
      <c r="DN58" s="15">
        <v>389261.5856244695</v>
      </c>
      <c r="DO58" s="15">
        <v>48941.45160140127</v>
      </c>
      <c r="DP58" s="15">
        <v>13316.27870063738</v>
      </c>
      <c r="DQ58" s="15">
        <v>14898.742327714808</v>
      </c>
      <c r="DR58" s="15">
        <v>4355.8579704315543</v>
      </c>
      <c r="DS58" s="15">
        <v>490886.91622465447</v>
      </c>
      <c r="DT58" s="18">
        <f t="shared" si="4"/>
        <v>0.25188307325391773</v>
      </c>
      <c r="DU58" s="18">
        <f t="shared" si="5"/>
        <v>0.22069315171261644</v>
      </c>
      <c r="DV58" s="18">
        <f t="shared" si="6"/>
        <v>4.1149473980916652E-2</v>
      </c>
      <c r="DW58" s="18">
        <f t="shared" si="7"/>
        <v>-5.8166279533656766E-2</v>
      </c>
      <c r="DX58" s="18">
        <f t="shared" si="8"/>
        <v>7.7365852575174671E-2</v>
      </c>
      <c r="DY58" s="18">
        <f t="shared" si="9"/>
        <v>0.28980276661344623</v>
      </c>
      <c r="DZ58" s="18">
        <f t="shared" si="10"/>
        <v>-0.10445490799866479</v>
      </c>
      <c r="EA58" s="18">
        <f t="shared" si="11"/>
        <v>0.15445658734520418</v>
      </c>
      <c r="EB58" s="18">
        <f t="shared" si="12"/>
        <v>0.12727028205104557</v>
      </c>
      <c r="EC58" s="18">
        <f t="shared" si="13"/>
        <v>0.66235791874149641</v>
      </c>
      <c r="ED58" s="18">
        <f t="shared" si="14"/>
        <v>7.4922560360940277E-2</v>
      </c>
      <c r="EE58" s="18">
        <f t="shared" si="15"/>
        <v>4.8046595856533821E-2</v>
      </c>
      <c r="EF58" s="18">
        <f t="shared" si="16"/>
        <v>1.5377603437669665E-2</v>
      </c>
      <c r="EG58" s="18">
        <f t="shared" si="17"/>
        <v>0.12005930574622035</v>
      </c>
      <c r="EH58" s="18">
        <f t="shared" si="18"/>
        <v>4.3772753059005368E-2</v>
      </c>
      <c r="EI58" s="18">
        <f t="shared" si="19"/>
        <v>2.9011500664448721E-2</v>
      </c>
      <c r="EJ58" s="18">
        <f t="shared" si="20"/>
        <v>3.2848710315007919E-2</v>
      </c>
      <c r="EK58" s="18">
        <f t="shared" si="21"/>
        <v>-1.964894005186239E-2</v>
      </c>
      <c r="EL58" s="18">
        <f t="shared" si="22"/>
        <v>-1.4788581360176248E-2</v>
      </c>
      <c r="EM58" s="6">
        <v>6.0039913130245939</v>
      </c>
      <c r="EN58" s="6">
        <v>6.2732401275447636</v>
      </c>
      <c r="EO58" s="6">
        <v>7.108022815766545</v>
      </c>
      <c r="EP58" s="6">
        <v>6.0162127107652399</v>
      </c>
      <c r="EQ58" s="14">
        <v>119724.2</v>
      </c>
      <c r="ER58" s="14">
        <v>18755.131000000001</v>
      </c>
      <c r="ES58" s="15">
        <v>196599</v>
      </c>
      <c r="ET58" s="15">
        <v>77691</v>
      </c>
      <c r="EU58" s="15">
        <v>1.25</v>
      </c>
      <c r="EV58" s="6">
        <v>6600</v>
      </c>
      <c r="EW58" s="6">
        <v>7.6999999999999999E-2</v>
      </c>
      <c r="EX58" s="16">
        <v>7.0161161781634646E-2</v>
      </c>
      <c r="EY58" s="16">
        <f t="shared" si="23"/>
        <v>6.8388382183653534E-3</v>
      </c>
      <c r="EZ58" s="6">
        <v>7.0000000000000001E-3</v>
      </c>
      <c r="FA58" s="17"/>
      <c r="FB58" s="17"/>
      <c r="FC58" s="17"/>
      <c r="GJ58" s="6">
        <v>0.2112392804724938</v>
      </c>
      <c r="GK58" s="6">
        <f t="shared" si="24"/>
        <v>0.44911850660324648</v>
      </c>
    </row>
    <row r="59" spans="1:193" ht="15">
      <c r="A59" s="12">
        <v>1967</v>
      </c>
      <c r="B59" s="13">
        <v>0.93229171444367265</v>
      </c>
      <c r="C59" s="15">
        <f t="shared" si="0"/>
        <v>2304834.3378276052</v>
      </c>
      <c r="D59" s="15">
        <v>566170.26675473037</v>
      </c>
      <c r="E59" s="15">
        <v>38908.333433695087</v>
      </c>
      <c r="F59" s="15">
        <v>451280.42913656292</v>
      </c>
      <c r="G59" s="15">
        <v>5348.7538572349204</v>
      </c>
      <c r="H59" s="15">
        <v>20743.500000000146</v>
      </c>
      <c r="I59" s="15">
        <v>352299.5</v>
      </c>
      <c r="J59" s="15">
        <v>253183.20664319294</v>
      </c>
      <c r="K59" s="15">
        <v>99116.293356807073</v>
      </c>
      <c r="L59" s="15">
        <v>10809.810164879205</v>
      </c>
      <c r="M59" s="15">
        <v>178565.99999999997</v>
      </c>
      <c r="N59" s="15">
        <v>-239358</v>
      </c>
      <c r="O59" s="15">
        <v>-62175.000000000007</v>
      </c>
      <c r="P59" s="15">
        <v>667334.00000000012</v>
      </c>
      <c r="Q59" s="15">
        <v>0</v>
      </c>
      <c r="R59" s="15">
        <v>297126.5</v>
      </c>
      <c r="S59" s="15">
        <v>0.1993349793008875</v>
      </c>
      <c r="T59" s="15">
        <v>-139346.99999999997</v>
      </c>
      <c r="U59" s="15">
        <v>94952.244480502195</v>
      </c>
      <c r="V59" s="15">
        <v>2337.6423816218967</v>
      </c>
      <c r="W59" s="15">
        <v>1516.1442541140216</v>
      </c>
      <c r="X59" s="15">
        <v>483.81813449524969</v>
      </c>
      <c r="Y59" s="15">
        <v>317.12255775454366</v>
      </c>
      <c r="Z59" s="15">
        <v>317.12255775454366</v>
      </c>
      <c r="AA59" s="15">
        <v>765695.15629962634</v>
      </c>
      <c r="AB59" s="15">
        <v>30992</v>
      </c>
      <c r="AC59" s="15">
        <v>18990.552481082908</v>
      </c>
      <c r="AD59" s="15">
        <v>9874.2309705591924</v>
      </c>
      <c r="AE59" s="15">
        <v>-912.23713919180284</v>
      </c>
      <c r="AF59" s="15">
        <v>14053.000000000002</v>
      </c>
      <c r="AG59" s="15">
        <v>12910.999999999998</v>
      </c>
      <c r="AH59" s="15">
        <v>203793.70261207657</v>
      </c>
      <c r="AI59" s="15">
        <v>48662</v>
      </c>
      <c r="AJ59" s="15">
        <v>36678.232020572679</v>
      </c>
      <c r="AK59" s="15">
        <v>11983.767979427323</v>
      </c>
      <c r="AL59" s="15">
        <f t="shared" si="1"/>
        <v>83175.504245900622</v>
      </c>
      <c r="AM59" s="15">
        <v>81750.269358531514</v>
      </c>
      <c r="AN59" s="15">
        <v>1425.2348873691076</v>
      </c>
      <c r="AO59" s="15">
        <v>42594.457967676535</v>
      </c>
      <c r="AP59" s="15">
        <v>21336.52185979985</v>
      </c>
      <c r="AQ59" s="15">
        <v>9972.2065159348094</v>
      </c>
      <c r="AR59" s="15">
        <f t="shared" si="25"/>
        <v>11364.315343865041</v>
      </c>
      <c r="AS59" s="15">
        <v>25130.22470733216</v>
      </c>
      <c r="AT59" s="15">
        <v>8551.9870951425364</v>
      </c>
      <c r="AU59" s="15">
        <f t="shared" si="2"/>
        <v>16578.237612189623</v>
      </c>
      <c r="AV59" s="15">
        <v>-14988.999999999998</v>
      </c>
      <c r="AW59" s="15">
        <v>-11078</v>
      </c>
      <c r="AX59" s="15">
        <v>561901.4536875498</v>
      </c>
      <c r="AY59" s="15">
        <v>481790.00000000006</v>
      </c>
      <c r="AZ59" s="15">
        <v>51633.447518917077</v>
      </c>
      <c r="BA59" s="15">
        <v>11880.66413300635</v>
      </c>
      <c r="BB59" s="15">
        <f t="shared" si="26"/>
        <v>39752.783385910727</v>
      </c>
      <c r="BC59" s="15">
        <v>31376.76902944082</v>
      </c>
      <c r="BD59" s="15">
        <v>-2898.7628608081973</v>
      </c>
      <c r="BE59" s="15">
        <f t="shared" si="3"/>
        <v>41251.000000000015</v>
      </c>
      <c r="BF59" s="15">
        <v>429009</v>
      </c>
      <c r="BG59" s="15">
        <v>52781.000000000007</v>
      </c>
      <c r="BH59" s="15">
        <v>21353.323395217118</v>
      </c>
      <c r="BI59" s="15">
        <v>2109.6766047828819</v>
      </c>
      <c r="BJ59" s="15">
        <v>3091.9999999999995</v>
      </c>
      <c r="BK59" s="15">
        <v>3522</v>
      </c>
      <c r="BL59" s="15">
        <v>1441.3335522478508</v>
      </c>
      <c r="BM59" s="15">
        <v>142.40161208568531</v>
      </c>
      <c r="BN59" s="15">
        <v>211.2648356664638</v>
      </c>
      <c r="BO59" s="15">
        <v>729078.31483830733</v>
      </c>
      <c r="BP59" s="15">
        <v>53937.156216965122</v>
      </c>
      <c r="BQ59" s="15">
        <v>12973.685244353866</v>
      </c>
      <c r="BR59" s="15">
        <v>25822</v>
      </c>
      <c r="BS59" s="15">
        <v>4471.9999999999982</v>
      </c>
      <c r="BT59" s="15">
        <v>23011</v>
      </c>
      <c r="BU59" s="15">
        <v>2237</v>
      </c>
      <c r="BV59" s="15">
        <v>2360</v>
      </c>
      <c r="BW59" s="15">
        <v>139</v>
      </c>
      <c r="BX59" s="15">
        <v>821.00000000000057</v>
      </c>
      <c r="BY59" s="15">
        <v>5547</v>
      </c>
      <c r="BZ59" s="15">
        <v>6229.0000000000018</v>
      </c>
      <c r="CA59" s="15">
        <v>2256</v>
      </c>
      <c r="CB59" s="15">
        <v>653</v>
      </c>
      <c r="CC59" s="15">
        <v>4699</v>
      </c>
      <c r="CD59" s="15">
        <v>2720</v>
      </c>
      <c r="CE59" s="15">
        <v>6.5</v>
      </c>
      <c r="CF59" s="15">
        <v>1899</v>
      </c>
      <c r="CG59" s="15">
        <v>9318.0000000000018</v>
      </c>
      <c r="CH59" s="15">
        <v>149349</v>
      </c>
      <c r="CI59" s="15">
        <v>32259.999999999996</v>
      </c>
      <c r="CJ59" s="15">
        <v>1512.843700373734</v>
      </c>
      <c r="CK59" s="15">
        <v>8818.0000000000018</v>
      </c>
      <c r="CL59" s="15">
        <v>211013</v>
      </c>
      <c r="CM59" s="15">
        <v>170442.99999999997</v>
      </c>
      <c r="CN59" s="15">
        <v>11546.000000000029</v>
      </c>
      <c r="CO59" s="15">
        <v>3320.735164333536</v>
      </c>
      <c r="CP59" s="15">
        <v>20322.421052631584</v>
      </c>
      <c r="CQ59" s="15">
        <v>18019</v>
      </c>
      <c r="CR59" s="15">
        <v>25368.421052631584</v>
      </c>
      <c r="CS59" s="15">
        <v>24100</v>
      </c>
      <c r="CT59" s="15">
        <v>1268.4210526315803</v>
      </c>
      <c r="CU59" s="15">
        <v>6892</v>
      </c>
      <c r="CV59" s="15">
        <v>17920.240430166737</v>
      </c>
      <c r="CW59" s="15">
        <v>64385.999999999993</v>
      </c>
      <c r="CX59" s="15">
        <v>8575</v>
      </c>
      <c r="CY59" s="15">
        <v>0</v>
      </c>
      <c r="CZ59" s="15">
        <v>3978</v>
      </c>
      <c r="DA59" s="19">
        <v>0</v>
      </c>
      <c r="DB59" s="19">
        <v>3.6013152290780281E-3</v>
      </c>
      <c r="DC59" s="19">
        <v>0.16973861001988633</v>
      </c>
      <c r="DD59" s="19">
        <v>0.11689635750551475</v>
      </c>
      <c r="DE59" s="19">
        <v>0.2726293816644384</v>
      </c>
      <c r="DF59" s="19">
        <v>0.26496675918258839</v>
      </c>
      <c r="DG59" s="19">
        <v>0.17216757639849414</v>
      </c>
      <c r="DH59" s="15">
        <v>6298.264835666464</v>
      </c>
      <c r="DI59" s="15">
        <v>720888.0500026407</v>
      </c>
      <c r="DJ59" s="15">
        <v>571539.05000264081</v>
      </c>
      <c r="DK59" s="15">
        <v>758390.00000000012</v>
      </c>
      <c r="DL59" s="18">
        <v>0.11414329733385897</v>
      </c>
      <c r="DM59" s="15">
        <v>503805.17023668694</v>
      </c>
      <c r="DN59" s="15">
        <v>419011.36376745073</v>
      </c>
      <c r="DO59" s="15">
        <v>50219.13864136731</v>
      </c>
      <c r="DP59" s="15">
        <v>14958.172951078477</v>
      </c>
      <c r="DQ59" s="15">
        <v>15352.627468022696</v>
      </c>
      <c r="DR59" s="15">
        <v>4263.8674087677218</v>
      </c>
      <c r="DS59" s="15">
        <v>531405.17023668694</v>
      </c>
      <c r="DT59" s="18">
        <f t="shared" si="4"/>
        <v>0.25033472794553879</v>
      </c>
      <c r="DU59" s="18">
        <f t="shared" si="5"/>
        <v>0.22399918638582403</v>
      </c>
      <c r="DV59" s="18">
        <f t="shared" si="6"/>
        <v>4.1196993173053094E-2</v>
      </c>
      <c r="DW59" s="18">
        <f t="shared" si="7"/>
        <v>-6.0458575140519583E-2</v>
      </c>
      <c r="DX59" s="18">
        <f t="shared" si="8"/>
        <v>7.747454863428721E-2</v>
      </c>
      <c r="DY59" s="18">
        <f t="shared" si="9"/>
        <v>0.28953664436854409</v>
      </c>
      <c r="DZ59" s="18">
        <f t="shared" si="10"/>
        <v>-0.10385041391981521</v>
      </c>
      <c r="EA59" s="18">
        <f t="shared" si="11"/>
        <v>0.15285241729436216</v>
      </c>
      <c r="EB59" s="18">
        <f t="shared" si="12"/>
        <v>0.12891447125872532</v>
      </c>
      <c r="EC59" s="18">
        <f t="shared" si="13"/>
        <v>0.67264812567487464</v>
      </c>
      <c r="ED59" s="18">
        <f t="shared" si="14"/>
        <v>7.2087718084085553E-2</v>
      </c>
      <c r="EE59" s="18">
        <f t="shared" si="15"/>
        <v>4.8363285407999411E-2</v>
      </c>
      <c r="EF59" s="18">
        <f t="shared" si="16"/>
        <v>1.5801590183714607E-2</v>
      </c>
      <c r="EG59" s="18">
        <f t="shared" si="17"/>
        <v>0.10967378821701315</v>
      </c>
      <c r="EH59" s="18">
        <f t="shared" si="18"/>
        <v>4.6531865752515549E-2</v>
      </c>
      <c r="EI59" s="18">
        <f t="shared" si="19"/>
        <v>2.8133970463481647E-2</v>
      </c>
      <c r="EJ59" s="18">
        <f t="shared" si="20"/>
        <v>3.3136281738066369E-2</v>
      </c>
      <c r="EK59" s="18">
        <f t="shared" si="21"/>
        <v>-1.9764237397645004E-2</v>
      </c>
      <c r="EL59" s="18">
        <f t="shared" si="22"/>
        <v>-1.4607260116826433E-2</v>
      </c>
      <c r="EM59" s="6">
        <v>5.8348069134675722</v>
      </c>
      <c r="EN59" s="6">
        <v>6.0938765785084588</v>
      </c>
      <c r="EO59" s="6">
        <v>6.8952077614022773</v>
      </c>
      <c r="EP59" s="6">
        <v>5.8684800736097538</v>
      </c>
      <c r="EQ59" s="14">
        <v>121142.6</v>
      </c>
      <c r="ER59" s="14">
        <v>19071.415000000001</v>
      </c>
      <c r="ES59" s="15">
        <v>198752</v>
      </c>
      <c r="ET59" s="15">
        <v>77277</v>
      </c>
      <c r="EU59" s="15">
        <v>1.4</v>
      </c>
      <c r="EV59" s="6">
        <v>6600</v>
      </c>
      <c r="EW59" s="6">
        <v>7.8E-2</v>
      </c>
      <c r="EX59" s="16">
        <v>7.098662680931403E-2</v>
      </c>
      <c r="EY59" s="16">
        <f t="shared" si="23"/>
        <v>7.0133731906859703E-3</v>
      </c>
      <c r="EZ59" s="6">
        <v>0.01</v>
      </c>
      <c r="FA59" s="17"/>
      <c r="FB59" s="17"/>
      <c r="FC59" s="17"/>
      <c r="GJ59" s="6">
        <v>0.22460635554733036</v>
      </c>
      <c r="GK59" s="6">
        <f>GK60</f>
        <v>0.44911850660324648</v>
      </c>
    </row>
    <row r="60" spans="1:193" ht="15">
      <c r="A60" s="12">
        <v>1968</v>
      </c>
      <c r="B60" s="13">
        <v>0.94736075256123475</v>
      </c>
      <c r="C60" s="15">
        <f t="shared" si="0"/>
        <v>2573544.9572418286</v>
      </c>
      <c r="D60" s="15">
        <v>690870.45385081391</v>
      </c>
      <c r="E60" s="15">
        <v>36623.126435944949</v>
      </c>
      <c r="F60" s="15">
        <v>491710.21592464851</v>
      </c>
      <c r="G60" s="15">
        <v>4978.1661607703563</v>
      </c>
      <c r="H60" s="15">
        <v>22570.49999999996</v>
      </c>
      <c r="I60" s="15">
        <v>371691</v>
      </c>
      <c r="J60" s="15">
        <v>266418.30474654812</v>
      </c>
      <c r="K60" s="15">
        <v>105272.69525345185</v>
      </c>
      <c r="L60" s="15">
        <v>12245.896489589813</v>
      </c>
      <c r="M60" s="15">
        <v>194055.5</v>
      </c>
      <c r="N60" s="15">
        <v>-254454</v>
      </c>
      <c r="O60" s="15">
        <v>-67444.5</v>
      </c>
      <c r="P60" s="15">
        <v>726926.5</v>
      </c>
      <c r="Q60" s="15">
        <v>0</v>
      </c>
      <c r="R60" s="15">
        <v>325122.99999999994</v>
      </c>
      <c r="S60" s="15">
        <v>0.227786604271842</v>
      </c>
      <c r="T60" s="15">
        <v>-153048.99999999997</v>
      </c>
      <c r="U60" s="15">
        <v>104253.59838006063</v>
      </c>
      <c r="V60" s="15">
        <v>2914.1731708189941</v>
      </c>
      <c r="W60" s="15">
        <v>1642.5899766500195</v>
      </c>
      <c r="X60" s="15">
        <v>579.74662174020807</v>
      </c>
      <c r="Y60" s="15">
        <v>347.13693422084083</v>
      </c>
      <c r="Z60" s="15">
        <v>347.13693422084083</v>
      </c>
      <c r="AA60" s="15">
        <v>838147.05666821171</v>
      </c>
      <c r="AB60" s="15">
        <v>37164</v>
      </c>
      <c r="AC60" s="15">
        <v>20206.954243190452</v>
      </c>
      <c r="AD60" s="15">
        <v>11043.697701929288</v>
      </c>
      <c r="AE60" s="15">
        <v>-981.5261521133815</v>
      </c>
      <c r="AF60" s="15">
        <v>15837.999999999998</v>
      </c>
      <c r="AG60" s="15">
        <v>14058.000000000004</v>
      </c>
      <c r="AH60" s="15">
        <v>219958.18246121809</v>
      </c>
      <c r="AI60" s="15">
        <v>51576</v>
      </c>
      <c r="AJ60" s="15">
        <v>38689.937433544132</v>
      </c>
      <c r="AK60" s="15">
        <v>12886.062566455865</v>
      </c>
      <c r="AL60" s="15">
        <f t="shared" si="1"/>
        <v>89773.103471741168</v>
      </c>
      <c r="AM60" s="15">
        <v>86854.409316189238</v>
      </c>
      <c r="AN60" s="15">
        <v>2918.6941555519229</v>
      </c>
      <c r="AO60" s="15">
        <v>47060.395713638012</v>
      </c>
      <c r="AP60" s="15">
        <v>22718.930971301052</v>
      </c>
      <c r="AQ60" s="15">
        <v>10719.493423553133</v>
      </c>
      <c r="AR60" s="15">
        <f t="shared" si="25"/>
        <v>11999.437547747919</v>
      </c>
      <c r="AS60" s="15">
        <v>27208.580754721967</v>
      </c>
      <c r="AT60" s="15">
        <v>9310.4597147431105</v>
      </c>
      <c r="AU60" s="15">
        <f t="shared" si="2"/>
        <v>17898.121039978854</v>
      </c>
      <c r="AV60" s="15">
        <v>-16331</v>
      </c>
      <c r="AW60" s="15">
        <v>-12110.000000000002</v>
      </c>
      <c r="AX60" s="15">
        <v>618188.8742069935</v>
      </c>
      <c r="AY60" s="15">
        <v>530751</v>
      </c>
      <c r="AZ60" s="15">
        <v>54710.045756809552</v>
      </c>
      <c r="BA60" s="15">
        <v>12800.890250537073</v>
      </c>
      <c r="BB60" s="15">
        <f t="shared" si="26"/>
        <v>41909.15550627248</v>
      </c>
      <c r="BC60" s="15">
        <v>35920.30229807071</v>
      </c>
      <c r="BD60" s="15">
        <v>-3192.4738478866188</v>
      </c>
      <c r="BE60" s="15">
        <f t="shared" si="3"/>
        <v>46964</v>
      </c>
      <c r="BF60" s="15">
        <v>471973</v>
      </c>
      <c r="BG60" s="15">
        <v>58777.999999999964</v>
      </c>
      <c r="BH60" s="15">
        <v>22853.06129091918</v>
      </c>
      <c r="BI60" s="15">
        <v>3194.9387090808214</v>
      </c>
      <c r="BJ60" s="15">
        <v>4189</v>
      </c>
      <c r="BK60" s="15">
        <v>3503</v>
      </c>
      <c r="BL60" s="15">
        <v>1204.1124698692745</v>
      </c>
      <c r="BM60" s="15">
        <v>168.33917745632255</v>
      </c>
      <c r="BN60" s="15">
        <v>221.54835267440313</v>
      </c>
      <c r="BO60" s="15">
        <v>801880.84885046678</v>
      </c>
      <c r="BP60" s="15">
        <v>58397.135857851921</v>
      </c>
      <c r="BQ60" s="15">
        <v>14551.37658289301</v>
      </c>
      <c r="BR60" s="15">
        <v>31847.304623</v>
      </c>
      <c r="BS60" s="15">
        <v>4835.0000000000009</v>
      </c>
      <c r="BT60" s="15">
        <v>26742</v>
      </c>
      <c r="BU60" s="15">
        <v>2207</v>
      </c>
      <c r="BV60" s="15">
        <v>2419</v>
      </c>
      <c r="BW60" s="15">
        <v>198</v>
      </c>
      <c r="BX60" s="15">
        <v>798.99999999999841</v>
      </c>
      <c r="BY60" s="15">
        <v>5852</v>
      </c>
      <c r="BZ60" s="15">
        <v>7044.9999999999982</v>
      </c>
      <c r="CA60" s="15">
        <v>2824</v>
      </c>
      <c r="CB60" s="15">
        <v>804.99999999999989</v>
      </c>
      <c r="CC60" s="15">
        <v>5890</v>
      </c>
      <c r="CD60" s="15">
        <v>3997</v>
      </c>
      <c r="CE60" s="15">
        <v>9</v>
      </c>
      <c r="CF60" s="15">
        <v>2178</v>
      </c>
      <c r="CG60" s="15">
        <v>12065.000000000002</v>
      </c>
      <c r="CH60" s="15">
        <v>166280</v>
      </c>
      <c r="CI60" s="15">
        <v>36376</v>
      </c>
      <c r="CJ60" s="15">
        <v>1804.943331788292</v>
      </c>
      <c r="CK60" s="15">
        <v>9758</v>
      </c>
      <c r="CL60" s="15">
        <v>243793.99999999994</v>
      </c>
      <c r="CM60" s="15">
        <v>191242</v>
      </c>
      <c r="CN60" s="15">
        <v>19476.999999999993</v>
      </c>
      <c r="CO60" s="15">
        <v>1974.4516473255987</v>
      </c>
      <c r="CP60" s="15">
        <v>19740.37958752632</v>
      </c>
      <c r="CQ60" s="15">
        <v>19950</v>
      </c>
      <c r="CR60" s="15">
        <v>27473.68421052632</v>
      </c>
      <c r="CS60" s="15">
        <v>26100</v>
      </c>
      <c r="CT60" s="15">
        <v>1373.6842105263172</v>
      </c>
      <c r="CU60" s="15">
        <v>8358</v>
      </c>
      <c r="CV60" s="15">
        <v>21873.77040582223</v>
      </c>
      <c r="CW60" s="15">
        <v>76435</v>
      </c>
      <c r="CX60" s="15">
        <v>10552</v>
      </c>
      <c r="CY60" s="15">
        <v>0</v>
      </c>
      <c r="CZ60" s="15">
        <v>4088</v>
      </c>
      <c r="DA60" s="19">
        <v>0</v>
      </c>
      <c r="DB60" s="19">
        <v>4.5016440363475629E-3</v>
      </c>
      <c r="DC60" s="19">
        <v>0.17995562326451797</v>
      </c>
      <c r="DD60" s="19">
        <v>0.12064822851761614</v>
      </c>
      <c r="DE60" s="19">
        <v>0.26793619072250902</v>
      </c>
      <c r="DF60" s="19">
        <v>0.25852240921232639</v>
      </c>
      <c r="DG60" s="19">
        <v>0.16843590424668292</v>
      </c>
      <c r="DH60" s="15">
        <v>7771.548352674401</v>
      </c>
      <c r="DI60" s="15">
        <v>784426.30049779254</v>
      </c>
      <c r="DJ60" s="15">
        <v>618146.30049779254</v>
      </c>
      <c r="DK60" s="15">
        <v>830194</v>
      </c>
      <c r="DL60" s="18">
        <v>9.8124531765284045E-2</v>
      </c>
      <c r="DM60" s="15">
        <v>548967.71586337092</v>
      </c>
      <c r="DN60" s="15">
        <v>457785.97750666155</v>
      </c>
      <c r="DO60" s="15">
        <v>52486.794533394866</v>
      </c>
      <c r="DP60" s="15">
        <v>16859.823872805522</v>
      </c>
      <c r="DQ60" s="15">
        <v>17200.7278920385</v>
      </c>
      <c r="DR60" s="15">
        <v>4634.3920584704956</v>
      </c>
      <c r="DS60" s="15">
        <v>585267.71586337092</v>
      </c>
      <c r="DT60" s="18">
        <f t="shared" si="4"/>
        <v>0.2732092743753588</v>
      </c>
      <c r="DU60" s="18">
        <f t="shared" si="5"/>
        <v>0.21599856142288842</v>
      </c>
      <c r="DV60" s="18">
        <f t="shared" si="6"/>
        <v>4.0509724956113997E-2</v>
      </c>
      <c r="DW60" s="18">
        <f t="shared" si="7"/>
        <v>-5.9470109340552857E-2</v>
      </c>
      <c r="DX60" s="18">
        <f t="shared" si="8"/>
        <v>7.5403967377347503E-2</v>
      </c>
      <c r="DY60" s="18">
        <f t="shared" si="9"/>
        <v>0.28246116235679686</v>
      </c>
      <c r="DZ60" s="18">
        <f t="shared" si="10"/>
        <v>-9.8872957040823786E-2</v>
      </c>
      <c r="EA60" s="18">
        <f t="shared" si="11"/>
        <v>0.14442763043796064</v>
      </c>
      <c r="EB60" s="18">
        <f t="shared" si="12"/>
        <v>0.1263327454549103</v>
      </c>
      <c r="EC60" s="18">
        <f t="shared" si="13"/>
        <v>0.67853372721504335</v>
      </c>
      <c r="ED60" s="18">
        <f t="shared" si="14"/>
        <v>6.9943554064850644E-2</v>
      </c>
      <c r="EE60" s="18">
        <f t="shared" si="15"/>
        <v>4.6603489586222173E-2</v>
      </c>
      <c r="EF60" s="18">
        <f t="shared" si="16"/>
        <v>1.5521748611114829E-2</v>
      </c>
      <c r="EG60" s="18">
        <f t="shared" si="17"/>
        <v>0.10813509067969795</v>
      </c>
      <c r="EH60" s="18">
        <f t="shared" si="18"/>
        <v>4.7106265578197755E-2</v>
      </c>
      <c r="EI60" s="18">
        <f t="shared" si="19"/>
        <v>2.7365809643650825E-2</v>
      </c>
      <c r="EJ60" s="18">
        <f t="shared" si="20"/>
        <v>3.2773762222711757E-2</v>
      </c>
      <c r="EK60" s="18">
        <f t="shared" si="21"/>
        <v>-1.9671305742995009E-2</v>
      </c>
      <c r="EL60" s="18">
        <f t="shared" si="22"/>
        <v>-1.4586951965444224E-2</v>
      </c>
      <c r="EM60" s="6">
        <v>5.5966515292444052</v>
      </c>
      <c r="EN60" s="6">
        <v>5.8412698412698418</v>
      </c>
      <c r="EO60" s="6">
        <v>6.6178143457136818</v>
      </c>
      <c r="EP60" s="6">
        <v>5.6476285350600479</v>
      </c>
      <c r="EQ60" s="14">
        <v>123507</v>
      </c>
      <c r="ER60" s="14">
        <v>19365.116999999998</v>
      </c>
      <c r="ES60" s="15">
        <v>200745</v>
      </c>
      <c r="ET60" s="15">
        <v>79320</v>
      </c>
      <c r="EU60" s="15">
        <v>1.6</v>
      </c>
      <c r="EV60" s="6">
        <v>7800</v>
      </c>
      <c r="EW60" s="6">
        <v>7.5999999999999998E-2</v>
      </c>
      <c r="EX60" s="16">
        <v>6.6678157943406688E-2</v>
      </c>
      <c r="EY60" s="16">
        <f t="shared" si="23"/>
        <v>9.3218420565933102E-3</v>
      </c>
      <c r="EZ60" s="6">
        <v>1.2E-2</v>
      </c>
      <c r="FA60" s="17"/>
      <c r="FB60" s="17"/>
      <c r="FC60" s="17"/>
      <c r="GJ60" s="6">
        <v>0.21590733251602728</v>
      </c>
      <c r="GK60" s="6">
        <v>0.44911850660324648</v>
      </c>
    </row>
    <row r="61" spans="1:193" ht="15">
      <c r="A61" s="12">
        <v>1969</v>
      </c>
      <c r="B61" s="13">
        <v>0.96244736136969244</v>
      </c>
      <c r="C61" s="15">
        <f t="shared" si="0"/>
        <v>2714174.2117868806</v>
      </c>
      <c r="D61" s="15">
        <v>677976.87090271397</v>
      </c>
      <c r="E61" s="15">
        <v>41053.319620169401</v>
      </c>
      <c r="F61" s="15">
        <v>523438.46972001542</v>
      </c>
      <c r="G61" s="15">
        <v>5714.5043311070631</v>
      </c>
      <c r="H61" s="15">
        <v>24634.50000000004</v>
      </c>
      <c r="I61" s="15">
        <v>392358.5</v>
      </c>
      <c r="J61" s="15">
        <v>280599.41603858775</v>
      </c>
      <c r="K61" s="15">
        <v>111759.08396141227</v>
      </c>
      <c r="L61" s="15">
        <v>13681.982814300425</v>
      </c>
      <c r="M61" s="15">
        <v>213415.50000000003</v>
      </c>
      <c r="N61" s="15">
        <v>-270811.5</v>
      </c>
      <c r="O61" s="15">
        <v>-73265.5</v>
      </c>
      <c r="P61" s="15">
        <v>800302.5</v>
      </c>
      <c r="Q61" s="15">
        <v>0</v>
      </c>
      <c r="R61" s="15">
        <v>347692.5</v>
      </c>
      <c r="S61" s="15">
        <v>0.23708126357741222</v>
      </c>
      <c r="T61" s="15">
        <v>-163002.5</v>
      </c>
      <c r="U61" s="15">
        <v>107719.56439857424</v>
      </c>
      <c r="V61" s="15">
        <v>2742.5619774954162</v>
      </c>
      <c r="W61" s="15">
        <v>1694.1813099003696</v>
      </c>
      <c r="X61" s="15">
        <v>655.32845212929408</v>
      </c>
      <c r="Y61" s="15">
        <v>361.72165609377606</v>
      </c>
      <c r="Z61" s="15">
        <v>361.72165609377606</v>
      </c>
      <c r="AA61" s="15">
        <v>905482.85260560759</v>
      </c>
      <c r="AB61" s="15">
        <v>36958</v>
      </c>
      <c r="AC61" s="15">
        <v>20759.660154173322</v>
      </c>
      <c r="AD61" s="15">
        <v>11430.708014834885</v>
      </c>
      <c r="AE61" s="15">
        <v>-1011.1368452329755</v>
      </c>
      <c r="AF61" s="15">
        <v>17646</v>
      </c>
      <c r="AG61" s="15">
        <v>15116.999999999996</v>
      </c>
      <c r="AH61" s="15">
        <v>227390.08392938273</v>
      </c>
      <c r="AI61" s="15">
        <v>55355.999999999993</v>
      </c>
      <c r="AJ61" s="15">
        <v>41627.82943516309</v>
      </c>
      <c r="AK61" s="15">
        <v>13728.17056483691</v>
      </c>
      <c r="AL61" s="15">
        <f t="shared" si="1"/>
        <v>84518.734027239203</v>
      </c>
      <c r="AM61" s="15">
        <v>81252.350764603238</v>
      </c>
      <c r="AN61" s="15">
        <v>3266.3832626359585</v>
      </c>
      <c r="AO61" s="15">
        <v>54948.620761386759</v>
      </c>
      <c r="AP61" s="15">
        <v>23427.552088476074</v>
      </c>
      <c r="AQ61" s="15">
        <v>10640.686162515485</v>
      </c>
      <c r="AR61" s="15">
        <f t="shared" si="25"/>
        <v>12786.865925960588</v>
      </c>
      <c r="AS61" s="15">
        <v>30625.605882678763</v>
      </c>
      <c r="AT61" s="15">
        <v>9879.0142623929314</v>
      </c>
      <c r="AU61" s="15">
        <f t="shared" si="2"/>
        <v>20746.591620285832</v>
      </c>
      <c r="AV61" s="15">
        <v>-18015</v>
      </c>
      <c r="AW61" s="15">
        <v>-13891</v>
      </c>
      <c r="AX61" s="15">
        <v>678092.76867622475</v>
      </c>
      <c r="AY61" s="15">
        <v>584458</v>
      </c>
      <c r="AZ61" s="15">
        <v>57332.339845826682</v>
      </c>
      <c r="BA61" s="15">
        <v>12618.180462519958</v>
      </c>
      <c r="BB61" s="15">
        <f t="shared" si="26"/>
        <v>44714.159383306724</v>
      </c>
      <c r="BC61" s="15">
        <v>39825.291985165102</v>
      </c>
      <c r="BD61" s="15">
        <v>-3522.8631547670248</v>
      </c>
      <c r="BE61" s="15">
        <f t="shared" si="3"/>
        <v>51255.999999999985</v>
      </c>
      <c r="BF61" s="15">
        <v>518333.99999999994</v>
      </c>
      <c r="BG61" s="15">
        <v>66124.000000000029</v>
      </c>
      <c r="BH61" s="15">
        <v>27221.437551512077</v>
      </c>
      <c r="BI61" s="15">
        <v>3505.5624484879222</v>
      </c>
      <c r="BJ61" s="15">
        <v>4451.0000000000009</v>
      </c>
      <c r="BK61" s="15">
        <v>3527</v>
      </c>
      <c r="BL61" s="15">
        <v>1377.4153674312947</v>
      </c>
      <c r="BM61" s="15">
        <v>177.38282847479979</v>
      </c>
      <c r="BN61" s="15">
        <v>225.20180409390542</v>
      </c>
      <c r="BO61" s="15">
        <v>861922.26001065888</v>
      </c>
      <c r="BP61" s="15">
        <v>66229.850827485032</v>
      </c>
      <c r="BQ61" s="15">
        <v>16623.27155346367</v>
      </c>
      <c r="BR61" s="15">
        <v>34051.529786000006</v>
      </c>
      <c r="BS61" s="15">
        <v>5241</v>
      </c>
      <c r="BT61" s="15">
        <v>28665</v>
      </c>
      <c r="BU61" s="15">
        <v>2327</v>
      </c>
      <c r="BV61" s="15">
        <v>2627</v>
      </c>
      <c r="BW61" s="15">
        <v>264</v>
      </c>
      <c r="BX61" s="15">
        <v>850.00000000000193</v>
      </c>
      <c r="BY61" s="15">
        <v>6612</v>
      </c>
      <c r="BZ61" s="15">
        <v>8200.0000000000018</v>
      </c>
      <c r="CA61" s="15">
        <v>3545</v>
      </c>
      <c r="CB61" s="15">
        <v>913.99999999999989</v>
      </c>
      <c r="CC61" s="15">
        <v>6695</v>
      </c>
      <c r="CD61" s="15">
        <v>4551</v>
      </c>
      <c r="CE61" s="15">
        <v>11.5</v>
      </c>
      <c r="CF61" s="15">
        <v>2583</v>
      </c>
      <c r="CG61" s="15">
        <v>13829</v>
      </c>
      <c r="CH61" s="15">
        <v>179437</v>
      </c>
      <c r="CI61" s="15">
        <v>41569</v>
      </c>
      <c r="CJ61" s="15">
        <v>1743.1473943925137</v>
      </c>
      <c r="CK61" s="15">
        <v>10031.999999999998</v>
      </c>
      <c r="CL61" s="15">
        <v>274234</v>
      </c>
      <c r="CM61" s="15">
        <v>208078</v>
      </c>
      <c r="CN61" s="15">
        <v>30704.999999999985</v>
      </c>
      <c r="CO61" s="15">
        <v>4816.7981959060917</v>
      </c>
      <c r="CP61" s="15">
        <v>22120.522845578947</v>
      </c>
      <c r="CQ61" s="15">
        <v>22753</v>
      </c>
      <c r="CR61" s="15">
        <v>30421.05263157895</v>
      </c>
      <c r="CS61" s="15">
        <v>28900</v>
      </c>
      <c r="CT61" s="15">
        <v>1521.0526315789489</v>
      </c>
      <c r="CU61" s="15">
        <v>9929</v>
      </c>
      <c r="CV61" s="15">
        <v>21290.333162978499</v>
      </c>
      <c r="CW61" s="15">
        <v>91700</v>
      </c>
      <c r="CX61" s="15">
        <v>12806</v>
      </c>
      <c r="CY61" s="15">
        <v>0</v>
      </c>
      <c r="CZ61" s="15">
        <v>4625</v>
      </c>
      <c r="DA61" s="19">
        <v>0</v>
      </c>
      <c r="DB61" s="19">
        <v>5.4019728436169867E-3</v>
      </c>
      <c r="DC61" s="19">
        <v>0.19017263650914962</v>
      </c>
      <c r="DD61" s="19">
        <v>0.12440009952971753</v>
      </c>
      <c r="DE61" s="19">
        <v>0.26324299978057958</v>
      </c>
      <c r="DF61" s="19">
        <v>0.2520780592420645</v>
      </c>
      <c r="DG61" s="19">
        <v>0.1647042320948717</v>
      </c>
      <c r="DH61" s="15">
        <v>8317.2018040939092</v>
      </c>
      <c r="DI61" s="15">
        <v>836109.05820656486</v>
      </c>
      <c r="DJ61" s="15">
        <v>656672.05820656486</v>
      </c>
      <c r="DK61" s="15">
        <v>897194.00000000012</v>
      </c>
      <c r="DL61" s="18">
        <v>9.4378378378378369E-2</v>
      </c>
      <c r="DM61" s="15">
        <v>594701.88082442724</v>
      </c>
      <c r="DN61" s="15">
        <v>500714.19505552517</v>
      </c>
      <c r="DO61" s="15">
        <v>52231.206373925314</v>
      </c>
      <c r="DP61" s="15">
        <v>19700.612129054341</v>
      </c>
      <c r="DQ61" s="15">
        <v>17281.786389239394</v>
      </c>
      <c r="DR61" s="15">
        <v>4774.080876683096</v>
      </c>
      <c r="DS61" s="15">
        <v>624278.88082442724</v>
      </c>
      <c r="DT61" s="18">
        <f t="shared" si="4"/>
        <v>0.25483215141951399</v>
      </c>
      <c r="DU61" s="18">
        <f t="shared" si="5"/>
        <v>0.21916087445237256</v>
      </c>
      <c r="DV61" s="18">
        <f t="shared" si="6"/>
        <v>3.9687785673734224E-2</v>
      </c>
      <c r="DW61" s="18">
        <f t="shared" si="7"/>
        <v>-6.0056019724941331E-2</v>
      </c>
      <c r="DX61" s="18">
        <f t="shared" si="8"/>
        <v>7.8629993267638337E-2</v>
      </c>
      <c r="DY61" s="18">
        <f t="shared" si="9"/>
        <v>0.29486040230008659</v>
      </c>
      <c r="DZ61" s="18">
        <f t="shared" si="10"/>
        <v>-9.9776756710731121E-2</v>
      </c>
      <c r="EA61" s="18">
        <f t="shared" si="11"/>
        <v>0.14455907004646182</v>
      </c>
      <c r="EB61" s="18">
        <f t="shared" si="12"/>
        <v>0.12810249927586487</v>
      </c>
      <c r="EC61" s="18">
        <f t="shared" si="13"/>
        <v>0.6918521787291555</v>
      </c>
      <c r="ED61" s="18">
        <f t="shared" si="14"/>
        <v>6.7867159374968872E-2</v>
      </c>
      <c r="EE61" s="18">
        <f t="shared" si="15"/>
        <v>4.6397801852401027E-2</v>
      </c>
      <c r="EF61" s="18">
        <f t="shared" si="16"/>
        <v>1.5301228680571769E-2</v>
      </c>
      <c r="EG61" s="18">
        <f t="shared" si="17"/>
        <v>9.4203409772289151E-2</v>
      </c>
      <c r="EH61" s="18">
        <f t="shared" si="18"/>
        <v>5.2006331022921765E-2</v>
      </c>
      <c r="EI61" s="18">
        <f t="shared" si="19"/>
        <v>2.611202492267678E-2</v>
      </c>
      <c r="EJ61" s="18">
        <f t="shared" si="20"/>
        <v>3.4134875938402129E-2</v>
      </c>
      <c r="EK61" s="18">
        <f t="shared" si="21"/>
        <v>-2.0079269366491525E-2</v>
      </c>
      <c r="EL61" s="18">
        <f t="shared" si="22"/>
        <v>-1.5482716112680199E-2</v>
      </c>
      <c r="EM61" s="6">
        <v>5.3345501955671448</v>
      </c>
      <c r="EN61" s="6">
        <v>5.5672616456247273</v>
      </c>
      <c r="EO61" s="6">
        <v>6.275202703837496</v>
      </c>
      <c r="EP61" s="6">
        <v>5.4041730657204896</v>
      </c>
      <c r="EQ61" s="14">
        <v>125542.6</v>
      </c>
      <c r="ER61" s="14">
        <v>19680.465</v>
      </c>
      <c r="ES61" s="15">
        <v>202736</v>
      </c>
      <c r="ET61" s="15">
        <v>80294</v>
      </c>
      <c r="EU61" s="15">
        <v>1.6</v>
      </c>
      <c r="EV61" s="6">
        <v>7800</v>
      </c>
      <c r="EW61" s="6">
        <v>8.4000000000000005E-2</v>
      </c>
      <c r="EX61" s="16">
        <v>7.4416661383376659E-2</v>
      </c>
      <c r="EY61" s="16">
        <f t="shared" si="23"/>
        <v>9.5833386166233464E-3</v>
      </c>
      <c r="EZ61" s="6">
        <v>1.2E-2</v>
      </c>
      <c r="FA61" s="17"/>
      <c r="FB61" s="17"/>
      <c r="FC61" s="17"/>
      <c r="GJ61" s="6">
        <v>0.23534829484025749</v>
      </c>
      <c r="GK61" s="6">
        <v>0.44821098464262632</v>
      </c>
    </row>
    <row r="62" spans="1:193" ht="15">
      <c r="A62" s="12">
        <v>1970</v>
      </c>
      <c r="B62" s="13">
        <v>0.92938291376807969</v>
      </c>
      <c r="C62" s="15">
        <f t="shared" si="0"/>
        <v>2765485.2486935114</v>
      </c>
      <c r="D62" s="15">
        <v>594098.02435819712</v>
      </c>
      <c r="E62" s="15">
        <v>46276.78998147168</v>
      </c>
      <c r="F62" s="15">
        <v>557822.6805490281</v>
      </c>
      <c r="G62" s="15">
        <v>6611.6604555084741</v>
      </c>
      <c r="H62" s="15">
        <v>27101.999999999945</v>
      </c>
      <c r="I62" s="15">
        <v>414678.5</v>
      </c>
      <c r="J62" s="15">
        <v>293585.36284364521</v>
      </c>
      <c r="K62" s="15">
        <v>121093.1371563548</v>
      </c>
      <c r="L62" s="15">
        <v>13931.418926526194</v>
      </c>
      <c r="M62" s="15">
        <v>224233.99999999997</v>
      </c>
      <c r="N62" s="15">
        <v>-282352</v>
      </c>
      <c r="O62" s="15">
        <v>-82949.5</v>
      </c>
      <c r="P62" s="15">
        <v>853455</v>
      </c>
      <c r="Q62" s="15">
        <v>0</v>
      </c>
      <c r="R62" s="15">
        <v>370398.5</v>
      </c>
      <c r="S62" s="15">
        <v>0.23906099055293695</v>
      </c>
      <c r="T62" s="15">
        <v>-171305</v>
      </c>
      <c r="U62" s="15">
        <v>110533.67442278024</v>
      </c>
      <c r="V62" s="15">
        <v>1552.1000000000001</v>
      </c>
      <c r="W62" s="15">
        <v>1649.7546526185247</v>
      </c>
      <c r="X62" s="15">
        <v>694.05977676241901</v>
      </c>
      <c r="Y62" s="15">
        <v>355.82437771274215</v>
      </c>
      <c r="Z62" s="15">
        <v>355.82437771274215</v>
      </c>
      <c r="AA62" s="15">
        <v>946903.78243325243</v>
      </c>
      <c r="AB62" s="15">
        <v>31263</v>
      </c>
      <c r="AC62" s="15">
        <v>20929.874528505661</v>
      </c>
      <c r="AD62" s="15">
        <v>11215.963747154861</v>
      </c>
      <c r="AE62" s="15">
        <v>-997.64749688406641</v>
      </c>
      <c r="AF62" s="15">
        <v>20068</v>
      </c>
      <c r="AG62" s="15">
        <v>16606</v>
      </c>
      <c r="AH62" s="15">
        <v>226769.97321202906</v>
      </c>
      <c r="AI62" s="15">
        <v>59948.000000000007</v>
      </c>
      <c r="AJ62" s="15">
        <v>44816.691875626871</v>
      </c>
      <c r="AK62" s="15">
        <v>15131.308124373123</v>
      </c>
      <c r="AL62" s="15">
        <f t="shared" si="1"/>
        <v>67991.626749146963</v>
      </c>
      <c r="AM62" s="15">
        <v>64609.974626173869</v>
      </c>
      <c r="AN62" s="15">
        <v>3381.6521229730915</v>
      </c>
      <c r="AO62" s="15">
        <v>65481.847176326497</v>
      </c>
      <c r="AP62" s="15">
        <v>23829.836821402252</v>
      </c>
      <c r="AQ62" s="15">
        <v>10597.244887185121</v>
      </c>
      <c r="AR62" s="15">
        <f t="shared" si="25"/>
        <v>13232.591934217131</v>
      </c>
      <c r="AS62" s="15">
        <v>34292.34621488252</v>
      </c>
      <c r="AT62" s="15">
        <v>9629.8472038994878</v>
      </c>
      <c r="AU62" s="15">
        <f t="shared" si="2"/>
        <v>24662.499010983032</v>
      </c>
      <c r="AV62" s="15">
        <v>-19897</v>
      </c>
      <c r="AW62" s="15">
        <v>-15094.999999999998</v>
      </c>
      <c r="AX62" s="15">
        <v>720133.80922122346</v>
      </c>
      <c r="AY62" s="15">
        <v>623347</v>
      </c>
      <c r="AZ62" s="15">
        <v>58077.125471494328</v>
      </c>
      <c r="BA62" s="15">
        <v>12109.813055401561</v>
      </c>
      <c r="BB62" s="15">
        <f t="shared" si="26"/>
        <v>45967.312416092769</v>
      </c>
      <c r="BC62" s="15">
        <v>42489.03625284513</v>
      </c>
      <c r="BD62" s="15">
        <v>-3779.3525031159338</v>
      </c>
      <c r="BE62" s="15">
        <f t="shared" si="3"/>
        <v>53704.999999999993</v>
      </c>
      <c r="BF62" s="15">
        <v>551562</v>
      </c>
      <c r="BG62" s="15">
        <v>71784.999999999971</v>
      </c>
      <c r="BH62" s="15">
        <v>27907.778334340903</v>
      </c>
      <c r="BI62" s="15">
        <v>4133.2216656590945</v>
      </c>
      <c r="BJ62" s="15">
        <v>4638</v>
      </c>
      <c r="BK62" s="15">
        <v>3787</v>
      </c>
      <c r="BL62" s="15">
        <v>1433.4404222270684</v>
      </c>
      <c r="BM62" s="15">
        <v>212.29661991008371</v>
      </c>
      <c r="BN62" s="15">
        <v>238.26295786284768</v>
      </c>
      <c r="BO62" s="15">
        <v>905135.26655970444</v>
      </c>
      <c r="BP62" s="15">
        <v>70421.105463189786</v>
      </c>
      <c r="BQ62" s="15">
        <v>18804.299011358235</v>
      </c>
      <c r="BR62" s="15">
        <v>39787.888600999991</v>
      </c>
      <c r="BS62" s="15">
        <v>7668.9999999999973</v>
      </c>
      <c r="BT62" s="15">
        <v>34025.999999999993</v>
      </c>
      <c r="BU62" s="15">
        <v>4186</v>
      </c>
      <c r="BV62" s="15">
        <v>2953</v>
      </c>
      <c r="BW62" s="15">
        <v>1103</v>
      </c>
      <c r="BX62" s="15">
        <v>904.99999999999989</v>
      </c>
      <c r="BY62" s="15">
        <v>7457</v>
      </c>
      <c r="BZ62" s="15">
        <v>10869</v>
      </c>
      <c r="CA62" s="15">
        <v>4836</v>
      </c>
      <c r="CB62" s="15">
        <v>1072</v>
      </c>
      <c r="CC62" s="15">
        <v>7254</v>
      </c>
      <c r="CD62" s="15">
        <v>5455</v>
      </c>
      <c r="CE62" s="15">
        <v>14</v>
      </c>
      <c r="CF62" s="15">
        <v>3293</v>
      </c>
      <c r="CG62" s="15">
        <v>16001.999999999998</v>
      </c>
      <c r="CH62" s="15">
        <v>192785</v>
      </c>
      <c r="CI62" s="15">
        <v>48531</v>
      </c>
      <c r="CJ62" s="15">
        <v>1758.2175667474185</v>
      </c>
      <c r="CK62" s="15">
        <v>11203</v>
      </c>
      <c r="CL62" s="15">
        <v>275835.00000000006</v>
      </c>
      <c r="CM62" s="15">
        <v>227113</v>
      </c>
      <c r="CN62" s="15">
        <v>5814.9999999999864</v>
      </c>
      <c r="CO62" s="15">
        <v>-738.26295786284743</v>
      </c>
      <c r="CP62" s="15">
        <v>23702.479820052642</v>
      </c>
      <c r="CQ62" s="15">
        <v>23839</v>
      </c>
      <c r="CR62" s="15">
        <v>32947.368421052641</v>
      </c>
      <c r="CS62" s="15">
        <v>31300.000000000004</v>
      </c>
      <c r="CT62" s="15">
        <v>1647.3684210526333</v>
      </c>
      <c r="CU62" s="15">
        <v>12102</v>
      </c>
      <c r="CV62" s="15">
        <v>20158.94778909273</v>
      </c>
      <c r="CW62" s="15">
        <v>88853</v>
      </c>
      <c r="CX62" s="15">
        <v>14217</v>
      </c>
      <c r="CY62" s="15">
        <v>0</v>
      </c>
      <c r="CZ62" s="15">
        <v>4764</v>
      </c>
      <c r="DA62" s="19">
        <v>0</v>
      </c>
      <c r="DB62" s="19">
        <v>6.3023016508865215E-3</v>
      </c>
      <c r="DC62" s="19">
        <v>0.20038964975378126</v>
      </c>
      <c r="DD62" s="19">
        <v>0.12815197054181893</v>
      </c>
      <c r="DE62" s="19">
        <v>0.2585498088386502</v>
      </c>
      <c r="DF62" s="19">
        <v>0.2456337092718025</v>
      </c>
      <c r="DG62" s="19">
        <v>0.16097255994306048</v>
      </c>
      <c r="DH62" s="15">
        <v>8885.2629578628494</v>
      </c>
      <c r="DI62" s="15">
        <v>898664.00360184151</v>
      </c>
      <c r="DJ62" s="15">
        <v>705879.00360184151</v>
      </c>
      <c r="DK62" s="15">
        <v>937458.99999999988</v>
      </c>
      <c r="DL62" s="18">
        <v>0.10761678938391779</v>
      </c>
      <c r="DM62" s="15">
        <v>641252.35981373186</v>
      </c>
      <c r="DN62" s="15">
        <v>544001.24253692362</v>
      </c>
      <c r="DO62" s="15">
        <v>53367.829766150731</v>
      </c>
      <c r="DP62" s="15">
        <v>22108.987412464256</v>
      </c>
      <c r="DQ62" s="15">
        <v>17074.596629788313</v>
      </c>
      <c r="DR62" s="15">
        <v>4699.7034684049404</v>
      </c>
      <c r="DS62" s="15">
        <v>659499.35981373186</v>
      </c>
      <c r="DT62" s="18">
        <f t="shared" si="4"/>
        <v>0.21986356411482311</v>
      </c>
      <c r="DU62" s="18">
        <f t="shared" si="5"/>
        <v>0.23063335133945415</v>
      </c>
      <c r="DV62" s="18">
        <f t="shared" si="6"/>
        <v>3.996899801761708E-2</v>
      </c>
      <c r="DW62" s="18">
        <f t="shared" si="7"/>
        <v>-6.1943921082540224E-2</v>
      </c>
      <c r="DX62" s="18">
        <f t="shared" si="8"/>
        <v>8.1083057704225345E-2</v>
      </c>
      <c r="DY62" s="18">
        <f t="shared" si="9"/>
        <v>0.30860949281982059</v>
      </c>
      <c r="DZ62" s="18">
        <f t="shared" si="10"/>
        <v>-0.10209853772801376</v>
      </c>
      <c r="EA62" s="18">
        <f t="shared" si="11"/>
        <v>0.14994782568299908</v>
      </c>
      <c r="EB62" s="18">
        <f t="shared" si="12"/>
        <v>0.13393616913161482</v>
      </c>
      <c r="EC62" s="18">
        <f t="shared" si="13"/>
        <v>0.70639327841927391</v>
      </c>
      <c r="ED62" s="18">
        <f t="shared" si="14"/>
        <v>6.5814531974929522E-2</v>
      </c>
      <c r="EE62" s="18">
        <f t="shared" si="15"/>
        <v>4.7806562074316716E-2</v>
      </c>
      <c r="EF62" s="18">
        <f t="shared" si="16"/>
        <v>1.6140767888913676E-2</v>
      </c>
      <c r="EG62" s="18">
        <f t="shared" si="17"/>
        <v>7.2527573738314921E-2</v>
      </c>
      <c r="EH62" s="18">
        <f t="shared" si="18"/>
        <v>5.9775483240412569E-2</v>
      </c>
      <c r="EI62" s="18">
        <f t="shared" si="19"/>
        <v>2.5419604293523509E-2</v>
      </c>
      <c r="EJ62" s="18">
        <f t="shared" si="20"/>
        <v>3.6580102399019612E-2</v>
      </c>
      <c r="EK62" s="18">
        <f t="shared" si="21"/>
        <v>-2.1224394880202762E-2</v>
      </c>
      <c r="EL62" s="18">
        <f t="shared" si="22"/>
        <v>-1.6102037529107941E-2</v>
      </c>
      <c r="EM62" s="6">
        <v>5.0673734271277127</v>
      </c>
      <c r="EN62" s="6">
        <v>5.2864820173625464</v>
      </c>
      <c r="EO62" s="6">
        <v>5.9355654440937142</v>
      </c>
      <c r="EP62" s="6">
        <v>5.1627542244257816</v>
      </c>
      <c r="EQ62" s="14">
        <v>127673.60000000001</v>
      </c>
      <c r="ER62" s="14">
        <v>20106.728999999999</v>
      </c>
      <c r="ES62" s="15">
        <v>205089</v>
      </c>
      <c r="ET62" s="15">
        <v>82249</v>
      </c>
      <c r="EU62" s="15">
        <v>1.6</v>
      </c>
      <c r="EV62" s="6">
        <v>7800</v>
      </c>
      <c r="EW62" s="6">
        <v>8.4000000000000005E-2</v>
      </c>
      <c r="EX62" s="16">
        <v>7.3164176526470337E-2</v>
      </c>
      <c r="EY62" s="16">
        <f t="shared" si="23"/>
        <v>1.0835823473529668E-2</v>
      </c>
      <c r="EZ62" s="6">
        <v>1.2E-2</v>
      </c>
      <c r="FA62" s="20">
        <v>1000</v>
      </c>
      <c r="FB62" s="20">
        <v>1000</v>
      </c>
      <c r="FC62" s="20">
        <v>1000</v>
      </c>
      <c r="GJ62" s="6">
        <v>0.29005302448288134</v>
      </c>
      <c r="GK62" s="6">
        <v>0.44119008484773792</v>
      </c>
    </row>
    <row r="63" spans="1:193" ht="15">
      <c r="A63" s="12">
        <v>1971</v>
      </c>
      <c r="B63" s="13">
        <v>0.91113809644600485</v>
      </c>
      <c r="C63" s="15">
        <f t="shared" si="0"/>
        <v>2983204.4207797316</v>
      </c>
      <c r="D63" s="15">
        <v>625980.2656032868</v>
      </c>
      <c r="E63" s="15">
        <v>45652.170003970357</v>
      </c>
      <c r="F63" s="15">
        <v>610320.44610003673</v>
      </c>
      <c r="G63" s="15">
        <v>6651.2313070859946</v>
      </c>
      <c r="H63" s="15">
        <v>29723.499999999738</v>
      </c>
      <c r="I63" s="15">
        <v>447630</v>
      </c>
      <c r="J63" s="15">
        <v>311716.77731387044</v>
      </c>
      <c r="K63" s="15">
        <v>135913.22268612956</v>
      </c>
      <c r="L63" s="15">
        <v>15480.159177810812</v>
      </c>
      <c r="M63" s="15">
        <v>240097.50000000003</v>
      </c>
      <c r="N63" s="15">
        <v>-297734.5</v>
      </c>
      <c r="O63" s="15">
        <v>-96170.5</v>
      </c>
      <c r="P63" s="15">
        <v>915852.00000000012</v>
      </c>
      <c r="Q63" s="15">
        <v>0</v>
      </c>
      <c r="R63" s="15">
        <v>407524</v>
      </c>
      <c r="S63" s="15">
        <v>0.26969191614706622</v>
      </c>
      <c r="T63" s="15">
        <v>-184584.5</v>
      </c>
      <c r="U63" s="15">
        <v>120612.14858754056</v>
      </c>
      <c r="V63" s="15">
        <v>2796.9561036697041</v>
      </c>
      <c r="W63" s="15">
        <v>1790.6096006513683</v>
      </c>
      <c r="X63" s="15">
        <v>863.02851105585523</v>
      </c>
      <c r="Y63" s="15">
        <v>399.74116386447531</v>
      </c>
      <c r="Z63" s="15">
        <v>399.74116386447531</v>
      </c>
      <c r="AA63" s="15">
        <v>1024054.5635010048</v>
      </c>
      <c r="AB63" s="15">
        <v>34808</v>
      </c>
      <c r="AC63" s="15">
        <v>22516.452028264939</v>
      </c>
      <c r="AD63" s="15">
        <v>12703.419111767889</v>
      </c>
      <c r="AE63" s="15">
        <v>-1014.6154194644877</v>
      </c>
      <c r="AF63" s="15">
        <v>22076.000000000004</v>
      </c>
      <c r="AG63" s="15">
        <v>18368.999999999996</v>
      </c>
      <c r="AH63" s="15">
        <v>253917.81922157295</v>
      </c>
      <c r="AI63" s="15">
        <v>65789</v>
      </c>
      <c r="AJ63" s="15">
        <v>49752.997094685779</v>
      </c>
      <c r="AK63" s="15">
        <v>16036.002905314217</v>
      </c>
      <c r="AL63" s="15">
        <f t="shared" si="1"/>
        <v>77581.600026301574</v>
      </c>
      <c r="AM63" s="15">
        <v>73812.657059053468</v>
      </c>
      <c r="AN63" s="15">
        <v>3768.9429672481001</v>
      </c>
      <c r="AO63" s="15">
        <v>72883.130772170145</v>
      </c>
      <c r="AP63" s="15">
        <v>25724.752698354579</v>
      </c>
      <c r="AQ63" s="15">
        <v>11269.938257208671</v>
      </c>
      <c r="AR63" s="15">
        <f t="shared" si="25"/>
        <v>14454.814441145909</v>
      </c>
      <c r="AS63" s="15">
        <v>39641.532032443312</v>
      </c>
      <c r="AT63" s="15">
        <v>12959.591619999177</v>
      </c>
      <c r="AU63" s="15">
        <f t="shared" si="2"/>
        <v>26681.940412444135</v>
      </c>
      <c r="AV63" s="15">
        <v>-22979</v>
      </c>
      <c r="AW63" s="15">
        <v>-16412.000000000004</v>
      </c>
      <c r="AX63" s="15">
        <v>770136.74427943153</v>
      </c>
      <c r="AY63" s="15">
        <v>664995</v>
      </c>
      <c r="AZ63" s="15">
        <v>62972.547971735061</v>
      </c>
      <c r="BA63" s="15">
        <v>12826.356084794819</v>
      </c>
      <c r="BB63" s="15">
        <f t="shared" si="26"/>
        <v>50146.191886940243</v>
      </c>
      <c r="BC63" s="15">
        <v>45829.5808882321</v>
      </c>
      <c r="BD63" s="15">
        <v>-3660.3845805355122</v>
      </c>
      <c r="BE63" s="15">
        <f t="shared" si="3"/>
        <v>58532.999999999985</v>
      </c>
      <c r="BF63" s="15">
        <v>584549</v>
      </c>
      <c r="BG63" s="15">
        <v>80446.000000000029</v>
      </c>
      <c r="BH63" s="15">
        <v>31655.275174086531</v>
      </c>
      <c r="BI63" s="15">
        <v>4336.7248259134649</v>
      </c>
      <c r="BJ63" s="15">
        <v>4750</v>
      </c>
      <c r="BK63" s="15">
        <v>4242</v>
      </c>
      <c r="BL63" s="15">
        <v>1472.5927841978144</v>
      </c>
      <c r="BM63" s="15">
        <v>201.74298440215588</v>
      </c>
      <c r="BN63" s="15">
        <v>220.66423140002982</v>
      </c>
      <c r="BO63" s="15">
        <v>977229.11989541422</v>
      </c>
      <c r="BP63" s="15">
        <v>79487.283137021019</v>
      </c>
      <c r="BQ63" s="15">
        <v>22383.160468569549</v>
      </c>
      <c r="BR63" s="15">
        <v>44703</v>
      </c>
      <c r="BS63" s="15">
        <v>10341.999999999998</v>
      </c>
      <c r="BT63" s="15">
        <v>39591</v>
      </c>
      <c r="BU63" s="15">
        <v>6160</v>
      </c>
      <c r="BV63" s="15">
        <v>3172</v>
      </c>
      <c r="BW63" s="15">
        <v>1698</v>
      </c>
      <c r="BX63" s="15">
        <v>992.99999999999466</v>
      </c>
      <c r="BY63" s="15">
        <v>8404</v>
      </c>
      <c r="BZ63" s="15">
        <v>13253.999999999993</v>
      </c>
      <c r="CA63" s="15">
        <v>6195</v>
      </c>
      <c r="CB63" s="15">
        <v>1196</v>
      </c>
      <c r="CC63" s="15">
        <v>8048.9999999999991</v>
      </c>
      <c r="CD63" s="15">
        <v>6744</v>
      </c>
      <c r="CE63" s="15">
        <v>15.24</v>
      </c>
      <c r="CF63" s="15">
        <v>4088</v>
      </c>
      <c r="CG63" s="15">
        <v>18881</v>
      </c>
      <c r="CH63" s="15">
        <v>208960</v>
      </c>
      <c r="CI63" s="15">
        <v>55491</v>
      </c>
      <c r="CJ63" s="15">
        <v>1875.4364989953453</v>
      </c>
      <c r="CK63" s="15">
        <v>12014.000000000002</v>
      </c>
      <c r="CL63" s="15">
        <v>292464</v>
      </c>
      <c r="CM63" s="15">
        <v>249499</v>
      </c>
      <c r="CN63" s="15">
        <v>-7393.9999999999864</v>
      </c>
      <c r="CO63" s="15">
        <v>-3842.664231400031</v>
      </c>
      <c r="CP63" s="15">
        <v>28284.947368421046</v>
      </c>
      <c r="CQ63" s="15">
        <v>26446</v>
      </c>
      <c r="CR63" s="15">
        <v>37578.947368421046</v>
      </c>
      <c r="CS63" s="15">
        <v>35699.999999999993</v>
      </c>
      <c r="CT63" s="15">
        <v>1878.9473684210541</v>
      </c>
      <c r="CU63" s="15">
        <v>13664</v>
      </c>
      <c r="CV63" s="15">
        <v>19127.377496564695</v>
      </c>
      <c r="CW63" s="15">
        <v>85803</v>
      </c>
      <c r="CX63" s="15">
        <v>15902</v>
      </c>
      <c r="CY63" s="15">
        <v>0</v>
      </c>
      <c r="CZ63" s="15">
        <v>5797</v>
      </c>
      <c r="DA63" s="19">
        <v>0</v>
      </c>
      <c r="DB63" s="19">
        <v>1.0874828719952601E-2</v>
      </c>
      <c r="DC63" s="19">
        <v>0.21232034047429071</v>
      </c>
      <c r="DD63" s="19">
        <v>0.12463407958415007</v>
      </c>
      <c r="DE63" s="19">
        <v>0.25750741207711164</v>
      </c>
      <c r="DF63" s="19">
        <v>0.2376504037350744</v>
      </c>
      <c r="DG63" s="19">
        <v>0.15701293540942046</v>
      </c>
      <c r="DH63" s="15">
        <v>9267.6642314000364</v>
      </c>
      <c r="DI63" s="15">
        <v>980847.45566401398</v>
      </c>
      <c r="DJ63" s="15">
        <v>771887.45566401398</v>
      </c>
      <c r="DK63" s="15">
        <v>1013916.0000000001</v>
      </c>
      <c r="DL63" s="18">
        <v>0.110972167707756</v>
      </c>
      <c r="DM63" s="15">
        <v>683605.51628102292</v>
      </c>
      <c r="DN63" s="15">
        <v>580220.49894749688</v>
      </c>
      <c r="DO63" s="15">
        <v>56730.649522247717</v>
      </c>
      <c r="DP63" s="15">
        <v>24824.618123314849</v>
      </c>
      <c r="DQ63" s="15">
        <v>16786.731554789087</v>
      </c>
      <c r="DR63" s="15">
        <v>5043.018133174307</v>
      </c>
      <c r="DS63" s="15">
        <v>709905.51628102292</v>
      </c>
      <c r="DT63" s="18">
        <f t="shared" si="4"/>
        <v>0.2150239589057181</v>
      </c>
      <c r="DU63" s="18">
        <f t="shared" si="5"/>
        <v>0.23208176502706152</v>
      </c>
      <c r="DV63" s="18">
        <f t="shared" si="6"/>
        <v>4.0430400192292458E-2</v>
      </c>
      <c r="DW63" s="18">
        <f t="shared" si="7"/>
        <v>-6.1874573098062935E-2</v>
      </c>
      <c r="DX63" s="18">
        <f t="shared" si="8"/>
        <v>8.0483086686109442E-2</v>
      </c>
      <c r="DY63" s="18">
        <f t="shared" si="9"/>
        <v>0.30700276307602831</v>
      </c>
      <c r="DZ63" s="18">
        <f t="shared" si="10"/>
        <v>-9.9803586346985898E-2</v>
      </c>
      <c r="EA63" s="18">
        <f t="shared" si="11"/>
        <v>0.15005005921887218</v>
      </c>
      <c r="EB63" s="18">
        <f t="shared" si="12"/>
        <v>0.13660612633896671</v>
      </c>
      <c r="EC63" s="18">
        <f t="shared" si="13"/>
        <v>0.69715845387691044</v>
      </c>
      <c r="ED63" s="18">
        <f t="shared" si="14"/>
        <v>6.6018307176241006E-2</v>
      </c>
      <c r="EE63" s="18">
        <f t="shared" si="15"/>
        <v>4.9070137067257817E-2</v>
      </c>
      <c r="EF63" s="18">
        <f t="shared" si="16"/>
        <v>1.5815908719572641E-2</v>
      </c>
      <c r="EG63" s="18">
        <f t="shared" si="17"/>
        <v>7.6516792344041878E-2</v>
      </c>
      <c r="EH63" s="18">
        <f t="shared" si="18"/>
        <v>6.1883397905906884E-2</v>
      </c>
      <c r="EI63" s="18">
        <f t="shared" si="19"/>
        <v>2.5371680393991788E-2</v>
      </c>
      <c r="EJ63" s="18">
        <f t="shared" si="20"/>
        <v>3.9097451891915415E-2</v>
      </c>
      <c r="EK63" s="18">
        <f t="shared" si="21"/>
        <v>-2.2663613159275519E-2</v>
      </c>
      <c r="EL63" s="18">
        <f t="shared" si="22"/>
        <v>-1.6186745253058441E-2</v>
      </c>
      <c r="EM63" s="6">
        <v>4.8224977605959181</v>
      </c>
      <c r="EN63" s="6">
        <v>5.0316742081447963</v>
      </c>
      <c r="EO63" s="6">
        <v>5.6864182526132385</v>
      </c>
      <c r="EP63" s="6">
        <v>4.9525357922834257</v>
      </c>
      <c r="EQ63" s="14">
        <v>130774.16039999999</v>
      </c>
      <c r="ER63" s="14">
        <v>20561.46</v>
      </c>
      <c r="ES63" s="15">
        <v>207692</v>
      </c>
      <c r="ET63" s="15">
        <v>84303</v>
      </c>
      <c r="EU63" s="15">
        <v>1.6</v>
      </c>
      <c r="EV63" s="6">
        <v>7800</v>
      </c>
      <c r="EW63" s="6">
        <v>9.1999999999999998E-2</v>
      </c>
      <c r="EX63" s="16">
        <v>8.0914795399421022E-2</v>
      </c>
      <c r="EY63" s="16">
        <f t="shared" si="23"/>
        <v>1.1085204600578977E-2</v>
      </c>
      <c r="EZ63" s="6">
        <v>1.2E-2</v>
      </c>
      <c r="FA63" s="20">
        <v>1050</v>
      </c>
      <c r="FB63" s="20">
        <v>1050</v>
      </c>
      <c r="FC63" s="20">
        <v>1050</v>
      </c>
      <c r="GJ63" s="6">
        <v>0.25551582126767419</v>
      </c>
      <c r="GK63" s="6">
        <v>0.43986071063575821</v>
      </c>
    </row>
    <row r="64" spans="1:193" ht="15">
      <c r="A64" s="12">
        <v>1972</v>
      </c>
      <c r="B64" s="13">
        <v>0.92713560881519508</v>
      </c>
      <c r="C64" s="15">
        <f t="shared" si="0"/>
        <v>3376963.9541509156</v>
      </c>
      <c r="D64" s="15">
        <v>748546.00291454652</v>
      </c>
      <c r="E64" s="15">
        <v>45916.9225847009</v>
      </c>
      <c r="F64" s="15">
        <v>675448.31232903467</v>
      </c>
      <c r="G64" s="15">
        <v>6706.0841595845113</v>
      </c>
      <c r="H64" s="15">
        <v>32446.499999999894</v>
      </c>
      <c r="I64" s="15">
        <v>492432.5</v>
      </c>
      <c r="J64" s="15">
        <v>341104.80620394408</v>
      </c>
      <c r="K64" s="15">
        <v>151327.69379605594</v>
      </c>
      <c r="L64" s="15">
        <v>17803.394671694346</v>
      </c>
      <c r="M64" s="15">
        <v>269039</v>
      </c>
      <c r="N64" s="15">
        <v>-326503.00000000006</v>
      </c>
      <c r="O64" s="15">
        <v>-112269</v>
      </c>
      <c r="P64" s="15">
        <v>1027929.5</v>
      </c>
      <c r="Q64" s="15">
        <v>0</v>
      </c>
      <c r="R64" s="15">
        <v>461928.50000000012</v>
      </c>
      <c r="S64" s="15">
        <v>0.30835225634370989</v>
      </c>
      <c r="T64" s="15">
        <v>-207626</v>
      </c>
      <c r="U64" s="15">
        <v>132896.23749135502</v>
      </c>
      <c r="V64" s="15">
        <v>3368.1128136704419</v>
      </c>
      <c r="W64" s="15">
        <v>1859.1674012443912</v>
      </c>
      <c r="X64" s="15">
        <v>1013.3706812495647</v>
      </c>
      <c r="Y64" s="15">
        <v>429.51929257433306</v>
      </c>
      <c r="Z64" s="15">
        <v>429.51929257433306</v>
      </c>
      <c r="AA64" s="15">
        <v>1130708.932814254</v>
      </c>
      <c r="AB64" s="15">
        <v>39110</v>
      </c>
      <c r="AC64" s="15">
        <v>25440.297018652498</v>
      </c>
      <c r="AD64" s="15">
        <v>14037.742937062845</v>
      </c>
      <c r="AE64" s="15">
        <v>-1460.9027229726184</v>
      </c>
      <c r="AF64" s="15">
        <v>23780</v>
      </c>
      <c r="AG64" s="15">
        <v>19446.999999999996</v>
      </c>
      <c r="AH64" s="15">
        <v>282634.07004699664</v>
      </c>
      <c r="AI64" s="15">
        <v>71247.999999999985</v>
      </c>
      <c r="AJ64" s="15">
        <v>53577.09109294683</v>
      </c>
      <c r="AK64" s="15">
        <v>17670.908907053174</v>
      </c>
      <c r="AL64" s="15">
        <f t="shared" si="1"/>
        <v>89310.779025878423</v>
      </c>
      <c r="AM64" s="15">
        <v>84988.584779800003</v>
      </c>
      <c r="AN64" s="15">
        <v>4322.1942460784148</v>
      </c>
      <c r="AO64" s="15">
        <v>80391.486598337084</v>
      </c>
      <c r="AP64" s="15">
        <v>28823.334686309714</v>
      </c>
      <c r="AQ64" s="15">
        <v>12258.282019763074</v>
      </c>
      <c r="AR64" s="15">
        <f t="shared" si="25"/>
        <v>16565.052666546639</v>
      </c>
      <c r="AS64" s="15">
        <v>44920.629522381176</v>
      </c>
      <c r="AT64" s="15">
        <v>16172.009605828784</v>
      </c>
      <c r="AU64" s="15">
        <f t="shared" si="2"/>
        <v>28748.619916552394</v>
      </c>
      <c r="AV64" s="15">
        <v>-26667</v>
      </c>
      <c r="AW64" s="15">
        <v>-17970</v>
      </c>
      <c r="AX64" s="15">
        <v>848074.86276725715</v>
      </c>
      <c r="AY64" s="15">
        <v>731333</v>
      </c>
      <c r="AZ64" s="15">
        <v>72189.702981347495</v>
      </c>
      <c r="BA64" s="15">
        <v>13989.109319902422</v>
      </c>
      <c r="BB64" s="15">
        <f t="shared" si="26"/>
        <v>58200.593661445077</v>
      </c>
      <c r="BC64" s="15">
        <v>49727.257062937155</v>
      </c>
      <c r="BD64" s="15">
        <v>-5175.0972770273811</v>
      </c>
      <c r="BE64" s="15">
        <f t="shared" si="3"/>
        <v>63765</v>
      </c>
      <c r="BF64" s="15">
        <v>638785</v>
      </c>
      <c r="BG64" s="15">
        <v>92548</v>
      </c>
      <c r="BH64" s="15">
        <v>35986.561066032453</v>
      </c>
      <c r="BI64" s="15">
        <v>4864.4389339675436</v>
      </c>
      <c r="BJ64" s="15">
        <v>5394</v>
      </c>
      <c r="BK64" s="15">
        <v>6137</v>
      </c>
      <c r="BL64" s="15">
        <v>1656.6828093149386</v>
      </c>
      <c r="BM64" s="15">
        <v>223.94005206774287</v>
      </c>
      <c r="BN64" s="15">
        <v>248.37713861731845</v>
      </c>
      <c r="BO64" s="15">
        <v>1074070.6218266438</v>
      </c>
      <c r="BP64" s="15">
        <v>91394.938650856362</v>
      </c>
      <c r="BQ64" s="15">
        <v>26484.37233675372</v>
      </c>
      <c r="BR64" s="15">
        <v>50289</v>
      </c>
      <c r="BS64" s="15">
        <v>10951.999999999998</v>
      </c>
      <c r="BT64" s="15">
        <v>44197</v>
      </c>
      <c r="BU64" s="15">
        <v>6033</v>
      </c>
      <c r="BV64" s="15">
        <v>3365</v>
      </c>
      <c r="BW64" s="15">
        <v>1980</v>
      </c>
      <c r="BX64" s="15">
        <v>1179.9999999999957</v>
      </c>
      <c r="BY64" s="15">
        <v>9374</v>
      </c>
      <c r="BZ64" s="15">
        <v>14618.999999999996</v>
      </c>
      <c r="CA64" s="15">
        <v>6923</v>
      </c>
      <c r="CB64" s="15">
        <v>1171</v>
      </c>
      <c r="CC64" s="15">
        <v>8836</v>
      </c>
      <c r="CD64" s="15">
        <v>8211</v>
      </c>
      <c r="CE64" s="15">
        <v>16.48</v>
      </c>
      <c r="CF64" s="15">
        <v>4573</v>
      </c>
      <c r="CG64" s="15">
        <v>21620</v>
      </c>
      <c r="CH64" s="15">
        <v>225498</v>
      </c>
      <c r="CI64" s="15">
        <v>61881</v>
      </c>
      <c r="CJ64" s="15">
        <v>2058.0671857460698</v>
      </c>
      <c r="CK64" s="15">
        <v>13355.999999999998</v>
      </c>
      <c r="CL64" s="15">
        <v>335748.99999999988</v>
      </c>
      <c r="CM64" s="15">
        <v>271111</v>
      </c>
      <c r="CN64" s="15">
        <v>7841.9999999999827</v>
      </c>
      <c r="CO64" s="15">
        <v>-1361.37713861733</v>
      </c>
      <c r="CP64" s="15">
        <v>31515.315789473687</v>
      </c>
      <c r="CQ64" s="15">
        <v>31156</v>
      </c>
      <c r="CR64" s="15">
        <v>42526.315789473687</v>
      </c>
      <c r="CS64" s="15">
        <v>40400</v>
      </c>
      <c r="CT64" s="15">
        <v>2126.315789473686</v>
      </c>
      <c r="CU64" s="15">
        <v>16165</v>
      </c>
      <c r="CV64" s="15">
        <v>16101.674122662524</v>
      </c>
      <c r="CW64" s="15">
        <v>102757</v>
      </c>
      <c r="CX64" s="15">
        <v>20883</v>
      </c>
      <c r="CY64" s="15">
        <v>0</v>
      </c>
      <c r="CZ64" s="15">
        <v>6804</v>
      </c>
      <c r="DA64" s="19">
        <v>0</v>
      </c>
      <c r="DB64" s="19">
        <v>1.5447355789018569E-2</v>
      </c>
      <c r="DC64" s="19">
        <v>0.22425103119480039</v>
      </c>
      <c r="DD64" s="19">
        <v>0.1211161886264811</v>
      </c>
      <c r="DE64" s="19">
        <v>0.25646501531557309</v>
      </c>
      <c r="DF64" s="19">
        <v>0.2296670981983463</v>
      </c>
      <c r="DG64" s="19">
        <v>0.15305331087578045</v>
      </c>
      <c r="DH64" s="15">
        <v>10334.377138617314</v>
      </c>
      <c r="DI64" s="15">
        <v>1064937.2446880266</v>
      </c>
      <c r="DJ64" s="15">
        <v>839439.24468802661</v>
      </c>
      <c r="DK64" s="15">
        <v>1119411</v>
      </c>
      <c r="DL64" s="18">
        <v>0.11247719960196444</v>
      </c>
      <c r="DM64" s="15">
        <v>751147.6271934883</v>
      </c>
      <c r="DN64" s="15">
        <v>638775.53128485801</v>
      </c>
      <c r="DO64" s="15">
        <v>60688.50827357878</v>
      </c>
      <c r="DP64" s="15">
        <v>27510.275846685236</v>
      </c>
      <c r="DQ64" s="15">
        <v>18427.278625206556</v>
      </c>
      <c r="DR64" s="15">
        <v>5746.0331631598401</v>
      </c>
      <c r="DS64" s="15">
        <v>785496.62719348841</v>
      </c>
      <c r="DT64" s="18">
        <f t="shared" si="4"/>
        <v>0.22693443222698756</v>
      </c>
      <c r="DU64" s="18">
        <f t="shared" si="5"/>
        <v>0.22520756199914491</v>
      </c>
      <c r="DV64" s="18">
        <f t="shared" si="6"/>
        <v>3.9353762520325651E-2</v>
      </c>
      <c r="DW64" s="18">
        <f t="shared" si="7"/>
        <v>-6.1483037076776936E-2</v>
      </c>
      <c r="DX64" s="18">
        <f t="shared" si="8"/>
        <v>7.9668898943769037E-2</v>
      </c>
      <c r="DY64" s="18">
        <f t="shared" si="9"/>
        <v>0.30439457274528614</v>
      </c>
      <c r="DZ64" s="18">
        <f t="shared" si="10"/>
        <v>-9.668536722124832E-2</v>
      </c>
      <c r="EA64" s="18">
        <f t="shared" si="11"/>
        <v>0.1458210708452215</v>
      </c>
      <c r="EB64" s="18">
        <f t="shared" si="12"/>
        <v>0.13678810501729052</v>
      </c>
      <c r="EC64" s="18">
        <f t="shared" si="13"/>
        <v>0.69375116429957928</v>
      </c>
      <c r="ED64" s="18">
        <f t="shared" si="14"/>
        <v>6.8480009098113498E-2</v>
      </c>
      <c r="EE64" s="18">
        <f t="shared" si="15"/>
        <v>4.7861858685457649E-2</v>
      </c>
      <c r="EF64" s="18">
        <f t="shared" si="16"/>
        <v>1.5785898929931163E-2</v>
      </c>
      <c r="EG64" s="18">
        <f t="shared" si="17"/>
        <v>7.9783724678316029E-2</v>
      </c>
      <c r="EH64" s="18">
        <f t="shared" si="18"/>
        <v>6.1723132776150276E-2</v>
      </c>
      <c r="EI64" s="18">
        <f t="shared" si="19"/>
        <v>2.5748661292688491E-2</v>
      </c>
      <c r="EJ64" s="18">
        <f t="shared" si="20"/>
        <v>4.0128808384392485E-2</v>
      </c>
      <c r="EK64" s="18">
        <f t="shared" si="21"/>
        <v>-2.3822349431978068E-2</v>
      </c>
      <c r="EL64" s="18">
        <f t="shared" si="22"/>
        <v>-1.605308505991097E-2</v>
      </c>
      <c r="EM64" s="6">
        <v>4.6226500361532903</v>
      </c>
      <c r="EN64" s="6">
        <v>4.8224757235787692</v>
      </c>
      <c r="EO64" s="6">
        <v>5.5095679241826829</v>
      </c>
      <c r="EP64" s="6">
        <v>4.7891402290219638</v>
      </c>
      <c r="EQ64" s="14">
        <v>133501.5618</v>
      </c>
      <c r="ER64" s="14">
        <v>21019.821</v>
      </c>
      <c r="ES64" s="15">
        <v>209924</v>
      </c>
      <c r="ET64" s="15">
        <v>87549</v>
      </c>
      <c r="EU64" s="15">
        <v>1.6</v>
      </c>
      <c r="EV64" s="6">
        <v>9000</v>
      </c>
      <c r="EW64" s="6">
        <v>9.1999999999999998E-2</v>
      </c>
      <c r="EX64" s="16">
        <v>8.1044861033389301E-2</v>
      </c>
      <c r="EY64" s="16">
        <f t="shared" si="23"/>
        <v>1.0955138966610697E-2</v>
      </c>
      <c r="EZ64" s="6">
        <v>1.2E-2</v>
      </c>
      <c r="FA64" s="20">
        <v>1300</v>
      </c>
      <c r="FB64" s="20">
        <v>1300</v>
      </c>
      <c r="FC64" s="20">
        <v>1300</v>
      </c>
      <c r="GJ64" s="6">
        <v>0.23368007365784652</v>
      </c>
      <c r="GK64" s="6">
        <v>0.44112111661549575</v>
      </c>
    </row>
    <row r="65" spans="1:195" ht="15">
      <c r="A65" s="12">
        <v>1973</v>
      </c>
      <c r="B65" s="13">
        <v>0.94442025841310195</v>
      </c>
      <c r="C65" s="15">
        <f t="shared" si="0"/>
        <v>3665764.1270772838</v>
      </c>
      <c r="D65" s="15">
        <v>712536.18010699854</v>
      </c>
      <c r="E65" s="15">
        <v>50410.852501323447</v>
      </c>
      <c r="F65" s="15">
        <v>746376.50132216874</v>
      </c>
      <c r="G65" s="15">
        <v>7342.6391422968709</v>
      </c>
      <c r="H65" s="15">
        <v>35416.000000000218</v>
      </c>
      <c r="I65" s="15">
        <v>562281</v>
      </c>
      <c r="J65" s="15">
        <v>394310.71132739476</v>
      </c>
      <c r="K65" s="15">
        <v>167970.28867260527</v>
      </c>
      <c r="L65" s="15">
        <v>20683.719824839482</v>
      </c>
      <c r="M65" s="15">
        <v>307798.5</v>
      </c>
      <c r="N65" s="15">
        <v>-362885</v>
      </c>
      <c r="O65" s="15">
        <v>-130125.50000000001</v>
      </c>
      <c r="P65" s="15">
        <v>1175017</v>
      </c>
      <c r="Q65" s="15">
        <v>0</v>
      </c>
      <c r="R65" s="15">
        <v>501518.5</v>
      </c>
      <c r="S65" s="15">
        <v>0.29948719131685286</v>
      </c>
      <c r="T65" s="15">
        <v>-233507.5</v>
      </c>
      <c r="U65" s="15">
        <v>142775.73417965631</v>
      </c>
      <c r="V65" s="15">
        <v>2502.1087758896906</v>
      </c>
      <c r="W65" s="15">
        <v>1798.7629889084869</v>
      </c>
      <c r="X65" s="15">
        <v>1097.3607530638021</v>
      </c>
      <c r="Y65" s="15">
        <v>429.98982659916044</v>
      </c>
      <c r="Z65" s="15">
        <v>429.98982659916044</v>
      </c>
      <c r="AA65" s="15">
        <v>1266182.9025939736</v>
      </c>
      <c r="AB65" s="15">
        <v>45632</v>
      </c>
      <c r="AC65" s="15">
        <v>29910.271145873354</v>
      </c>
      <c r="AD65" s="15">
        <v>15262.468326843153</v>
      </c>
      <c r="AE65" s="15">
        <v>-1158.4121983164218</v>
      </c>
      <c r="AF65" s="15">
        <v>25790</v>
      </c>
      <c r="AG65" s="15">
        <v>20565</v>
      </c>
      <c r="AH65" s="15">
        <v>316539.22986837389</v>
      </c>
      <c r="AI65" s="15">
        <v>75465</v>
      </c>
      <c r="AJ65" s="15">
        <v>57318.458983392047</v>
      </c>
      <c r="AK65" s="15">
        <v>18146.541016607953</v>
      </c>
      <c r="AL65" s="15">
        <f t="shared" si="1"/>
        <v>99203.306654575223</v>
      </c>
      <c r="AM65" s="15">
        <v>94113.900257899732</v>
      </c>
      <c r="AN65" s="15">
        <v>5089.4063966754911</v>
      </c>
      <c r="AO65" s="15">
        <v>91858.566887190376</v>
      </c>
      <c r="AP65" s="15">
        <v>33456.112564049981</v>
      </c>
      <c r="AQ65" s="15">
        <v>13157.863793841576</v>
      </c>
      <c r="AR65" s="15">
        <f t="shared" si="25"/>
        <v>20298.248770208404</v>
      </c>
      <c r="AS65" s="15">
        <v>52691.187634031521</v>
      </c>
      <c r="AT65" s="15">
        <v>19838.647526225879</v>
      </c>
      <c r="AU65" s="15">
        <f t="shared" si="2"/>
        <v>32852.540107805646</v>
      </c>
      <c r="AV65" s="15">
        <v>-30643</v>
      </c>
      <c r="AW65" s="15">
        <v>-19596</v>
      </c>
      <c r="AX65" s="15">
        <v>949643.67272559996</v>
      </c>
      <c r="AY65" s="15">
        <v>812683</v>
      </c>
      <c r="AZ65" s="15">
        <v>87387.728854126646</v>
      </c>
      <c r="BA65" s="15">
        <v>14626.743400849395</v>
      </c>
      <c r="BB65" s="15">
        <f t="shared" si="26"/>
        <v>72760.985453277244</v>
      </c>
      <c r="BC65" s="15">
        <v>53644.531673156853</v>
      </c>
      <c r="BD65" s="15">
        <v>-4071.5878016835782</v>
      </c>
      <c r="BE65" s="15">
        <f t="shared" si="3"/>
        <v>68907</v>
      </c>
      <c r="BF65" s="15">
        <v>708762</v>
      </c>
      <c r="BG65" s="15">
        <v>103921.00000000004</v>
      </c>
      <c r="BH65" s="15">
        <v>44233.677057044333</v>
      </c>
      <c r="BI65" s="15">
        <v>5707.3229429556704</v>
      </c>
      <c r="BJ65" s="15">
        <v>10462</v>
      </c>
      <c r="BK65" s="15">
        <v>7283</v>
      </c>
      <c r="BL65" s="15">
        <v>1864.0585382845743</v>
      </c>
      <c r="BM65" s="15">
        <v>240.51321912135066</v>
      </c>
      <c r="BN65" s="15">
        <v>442.42824259407524</v>
      </c>
      <c r="BO65" s="15">
        <v>1205493.0999223911</v>
      </c>
      <c r="BP65" s="15">
        <v>101539.0980731954</v>
      </c>
      <c r="BQ65" s="15">
        <v>31502.704598387063</v>
      </c>
      <c r="BR65" s="15">
        <v>61555</v>
      </c>
      <c r="BS65" s="15">
        <v>10797.000000000004</v>
      </c>
      <c r="BT65" s="15">
        <v>54538</v>
      </c>
      <c r="BU65" s="15">
        <v>4570</v>
      </c>
      <c r="BV65" s="15">
        <v>3449</v>
      </c>
      <c r="BW65" s="15">
        <v>2209</v>
      </c>
      <c r="BX65" s="15">
        <v>1333.9999999999986</v>
      </c>
      <c r="BY65" s="15">
        <v>10242</v>
      </c>
      <c r="BZ65" s="15">
        <v>15493.000000000004</v>
      </c>
      <c r="CA65" s="15">
        <v>7218</v>
      </c>
      <c r="CB65" s="15">
        <v>1283</v>
      </c>
      <c r="CC65" s="15">
        <v>10244</v>
      </c>
      <c r="CD65" s="15">
        <v>9611</v>
      </c>
      <c r="CE65" s="15">
        <v>17.72</v>
      </c>
      <c r="CF65" s="15">
        <v>5229</v>
      </c>
      <c r="CG65" s="15">
        <v>25084</v>
      </c>
      <c r="CH65" s="15">
        <v>239125</v>
      </c>
      <c r="CI65" s="15">
        <v>67410</v>
      </c>
      <c r="CJ65" s="15">
        <v>2037.0974060263211</v>
      </c>
      <c r="CK65" s="15">
        <v>15152.000000000002</v>
      </c>
      <c r="CL65" s="15">
        <v>375398</v>
      </c>
      <c r="CM65" s="15">
        <v>289944</v>
      </c>
      <c r="CN65" s="15">
        <v>21257.000000000025</v>
      </c>
      <c r="CO65" s="15">
        <v>220.57175740592427</v>
      </c>
      <c r="CP65" s="15">
        <v>28966.526315789481</v>
      </c>
      <c r="CQ65" s="15">
        <v>39783</v>
      </c>
      <c r="CR65" s="15">
        <v>42210.526315789481</v>
      </c>
      <c r="CS65" s="15">
        <v>40100</v>
      </c>
      <c r="CT65" s="15">
        <v>2110.526315789476</v>
      </c>
      <c r="CU65" s="15">
        <v>18326</v>
      </c>
      <c r="CV65" s="15">
        <v>22923.917105826193</v>
      </c>
      <c r="CW65" s="15">
        <v>109581</v>
      </c>
      <c r="CX65" s="15">
        <v>22826</v>
      </c>
      <c r="CY65" s="15">
        <v>0</v>
      </c>
      <c r="CZ65" s="15">
        <v>6601</v>
      </c>
      <c r="DA65" s="19">
        <v>0</v>
      </c>
      <c r="DB65" s="19">
        <v>2.0019882858084648E-2</v>
      </c>
      <c r="DC65" s="19">
        <v>0.23618172191530984</v>
      </c>
      <c r="DD65" s="19">
        <v>0.11759829766881225</v>
      </c>
      <c r="DE65" s="19">
        <v>0.25542261855403453</v>
      </c>
      <c r="DF65" s="19">
        <v>0.2216837926616182</v>
      </c>
      <c r="DG65" s="19">
        <v>0.14909368634214043</v>
      </c>
      <c r="DH65" s="15">
        <v>16167.42824259408</v>
      </c>
      <c r="DI65" s="15">
        <v>1184597.6716797973</v>
      </c>
      <c r="DJ65" s="15">
        <v>945472.67167979712</v>
      </c>
      <c r="DK65" s="15">
        <v>1253067.9999999998</v>
      </c>
      <c r="DL65" s="18">
        <v>0.10968498985768843</v>
      </c>
      <c r="DM65" s="15">
        <v>831698.51914472133</v>
      </c>
      <c r="DN65" s="15">
        <v>705633.70298025885</v>
      </c>
      <c r="DO65" s="15">
        <v>66559.94838020856</v>
      </c>
      <c r="DP65" s="15">
        <v>32324.214393503269</v>
      </c>
      <c r="DQ65" s="15">
        <v>20206.242490032764</v>
      </c>
      <c r="DR65" s="15">
        <v>6974.4109007179622</v>
      </c>
      <c r="DS65" s="15">
        <v>865418.51914472133</v>
      </c>
      <c r="DT65" s="18">
        <f t="shared" si="4"/>
        <v>0.20001829755381309</v>
      </c>
      <c r="DU65" s="18">
        <f t="shared" si="5"/>
        <v>0.22902346246569877</v>
      </c>
      <c r="DV65" s="18">
        <f t="shared" si="6"/>
        <v>3.8948423638345629E-2</v>
      </c>
      <c r="DW65" s="18">
        <f t="shared" si="7"/>
        <v>-6.36995430980377E-2</v>
      </c>
      <c r="DX65" s="18">
        <f t="shared" si="8"/>
        <v>8.3965713376492654E-2</v>
      </c>
      <c r="DY65" s="18">
        <f t="shared" si="9"/>
        <v>0.32053808135681711</v>
      </c>
      <c r="DZ65" s="18">
        <f t="shared" si="10"/>
        <v>-9.899300321030978E-2</v>
      </c>
      <c r="EA65" s="18">
        <f t="shared" si="11"/>
        <v>0.15338711944030808</v>
      </c>
      <c r="EB65" s="18">
        <f t="shared" si="12"/>
        <v>0.13681144847687216</v>
      </c>
      <c r="EC65" s="18">
        <f t="shared" si="13"/>
        <v>0.68720866890734889</v>
      </c>
      <c r="ED65" s="18">
        <f t="shared" si="14"/>
        <v>7.3895485477954756E-2</v>
      </c>
      <c r="EE65" s="18">
        <f t="shared" si="15"/>
        <v>4.5742496802561441E-2</v>
      </c>
      <c r="EF65" s="18">
        <f t="shared" si="16"/>
        <v>1.4481688955912972E-2</v>
      </c>
      <c r="EG65" s="18">
        <f t="shared" si="17"/>
        <v>7.9168334563308004E-2</v>
      </c>
      <c r="EH65" s="18">
        <f t="shared" si="18"/>
        <v>6.2840695232195473E-2</v>
      </c>
      <c r="EI65" s="18">
        <f t="shared" si="19"/>
        <v>2.6699359144156571E-2</v>
      </c>
      <c r="EJ65" s="18">
        <f t="shared" si="20"/>
        <v>4.2049743217472263E-2</v>
      </c>
      <c r="EK65" s="18">
        <f t="shared" si="21"/>
        <v>-2.4454379171760833E-2</v>
      </c>
      <c r="EL65" s="18">
        <f t="shared" si="22"/>
        <v>-1.5638417069145493E-2</v>
      </c>
      <c r="EM65" s="6">
        <v>4.3826049700085692</v>
      </c>
      <c r="EN65" s="6">
        <v>4.5724501653705198</v>
      </c>
      <c r="EO65" s="6">
        <v>5.1869355682620757</v>
      </c>
      <c r="EP65" s="6">
        <v>4.5445112447116456</v>
      </c>
      <c r="EQ65" s="14">
        <v>136006.38620000001</v>
      </c>
      <c r="ER65" s="14">
        <v>21524.934000000001</v>
      </c>
      <c r="ES65" s="15">
        <v>211939</v>
      </c>
      <c r="ET65" s="15">
        <v>89192</v>
      </c>
      <c r="EU65" s="15">
        <v>1.6</v>
      </c>
      <c r="EV65" s="6">
        <v>10800</v>
      </c>
      <c r="EW65" s="6">
        <v>9.7000000000000003E-2</v>
      </c>
      <c r="EX65" s="16">
        <v>8.5914712851831165E-2</v>
      </c>
      <c r="EY65" s="16">
        <f t="shared" si="23"/>
        <v>1.1085287148168838E-2</v>
      </c>
      <c r="EZ65" s="6">
        <v>0.02</v>
      </c>
      <c r="FA65" s="20">
        <v>1300</v>
      </c>
      <c r="FB65" s="20">
        <v>1300</v>
      </c>
      <c r="FC65" s="20">
        <v>1300</v>
      </c>
      <c r="GJ65" s="6">
        <v>0.23297767251935819</v>
      </c>
      <c r="GK65" s="6">
        <v>0.43509911883390462</v>
      </c>
    </row>
    <row r="66" spans="1:195" ht="15">
      <c r="A66" s="12">
        <v>1974</v>
      </c>
      <c r="B66" s="13">
        <v>0.95543009642916976</v>
      </c>
      <c r="C66" s="15">
        <f t="shared" si="0"/>
        <v>3689069.5144882821</v>
      </c>
      <c r="D66" s="15">
        <v>474539.77088760119</v>
      </c>
      <c r="E66" s="15">
        <v>57510.143925357341</v>
      </c>
      <c r="F66" s="15">
        <v>824825.39047593379</v>
      </c>
      <c r="G66" s="15">
        <v>9069.8469805714849</v>
      </c>
      <c r="H66" s="15">
        <v>38385.500000000415</v>
      </c>
      <c r="I66" s="15">
        <v>635210</v>
      </c>
      <c r="J66" s="15">
        <v>460223.35566901084</v>
      </c>
      <c r="K66" s="15">
        <v>174986.64433098939</v>
      </c>
      <c r="L66" s="15">
        <v>22548.677382142145</v>
      </c>
      <c r="M66" s="15">
        <v>359357.99999999994</v>
      </c>
      <c r="N66" s="15">
        <v>-400778.5</v>
      </c>
      <c r="O66" s="15">
        <v>-143534.5</v>
      </c>
      <c r="P66" s="15">
        <v>1256275.5000000002</v>
      </c>
      <c r="Q66" s="15">
        <v>0</v>
      </c>
      <c r="R66" s="15">
        <v>517837</v>
      </c>
      <c r="S66" s="15">
        <v>0.24789049968926696</v>
      </c>
      <c r="T66" s="15">
        <v>-255009</v>
      </c>
      <c r="U66" s="15">
        <v>149297.18483667605</v>
      </c>
      <c r="V66" s="15">
        <v>1798.3041999999998</v>
      </c>
      <c r="W66" s="15">
        <v>1753.9142747310125</v>
      </c>
      <c r="X66" s="15">
        <v>1187.4943673107989</v>
      </c>
      <c r="Y66" s="15">
        <v>433.76600848968553</v>
      </c>
      <c r="Z66" s="15">
        <v>433.76600848968553</v>
      </c>
      <c r="AA66" s="15">
        <v>1359710.6911431965</v>
      </c>
      <c r="AB66" s="15">
        <v>47235</v>
      </c>
      <c r="AC66" s="15">
        <v>30406.44590756172</v>
      </c>
      <c r="AD66" s="15">
        <v>15738.074881185317</v>
      </c>
      <c r="AE66" s="15">
        <v>-708.33760183025538</v>
      </c>
      <c r="AF66" s="15">
        <v>27572</v>
      </c>
      <c r="AG66" s="15">
        <v>21407.999999999996</v>
      </c>
      <c r="AH66" s="15">
        <v>329729.87433011341</v>
      </c>
      <c r="AI66" s="15">
        <v>80932</v>
      </c>
      <c r="AJ66" s="15">
        <v>62144.430959520243</v>
      </c>
      <c r="AK66" s="15">
        <v>18787.569040479753</v>
      </c>
      <c r="AL66" s="15">
        <f t="shared" si="1"/>
        <v>87376.975848522794</v>
      </c>
      <c r="AM66" s="15">
        <v>81715.037840532474</v>
      </c>
      <c r="AN66" s="15">
        <v>5661.9380079903221</v>
      </c>
      <c r="AO66" s="15">
        <v>107562.9858888266</v>
      </c>
      <c r="AP66" s="15">
        <v>34014.394790849132</v>
      </c>
      <c r="AQ66" s="15">
        <v>13522.785572084569</v>
      </c>
      <c r="AR66" s="15">
        <f t="shared" si="25"/>
        <v>20491.609218764563</v>
      </c>
      <c r="AS66" s="15">
        <v>60926.780522559835</v>
      </c>
      <c r="AT66" s="15">
        <v>22104.583224957631</v>
      </c>
      <c r="AU66" s="15">
        <f t="shared" si="2"/>
        <v>38822.197297602208</v>
      </c>
      <c r="AV66" s="15">
        <v>-35214</v>
      </c>
      <c r="AW66" s="15">
        <v>-20899</v>
      </c>
      <c r="AX66" s="15">
        <v>1029980.8168130832</v>
      </c>
      <c r="AY66" s="15">
        <v>887715</v>
      </c>
      <c r="AZ66" s="15">
        <v>87126.55409243828</v>
      </c>
      <c r="BA66" s="15">
        <v>13753.937722685154</v>
      </c>
      <c r="BB66" s="15">
        <f t="shared" si="26"/>
        <v>73372.61636975313</v>
      </c>
      <c r="BC66" s="15">
        <v>57737.925118814681</v>
      </c>
      <c r="BD66" s="15">
        <v>-2598.6623981697444</v>
      </c>
      <c r="BE66" s="15">
        <f t="shared" si="3"/>
        <v>73476</v>
      </c>
      <c r="BF66" s="15">
        <v>772282</v>
      </c>
      <c r="BG66" s="15">
        <v>115433</v>
      </c>
      <c r="BH66" s="15">
        <v>51234.894834230225</v>
      </c>
      <c r="BI66" s="15">
        <v>6715.1051657697726</v>
      </c>
      <c r="BJ66" s="15">
        <v>10665</v>
      </c>
      <c r="BK66" s="15">
        <v>7396</v>
      </c>
      <c r="BL66" s="15">
        <v>2331.3834167749674</v>
      </c>
      <c r="BM66" s="15">
        <v>305.56293471526897</v>
      </c>
      <c r="BN66" s="15">
        <v>485.05364850976366</v>
      </c>
      <c r="BO66" s="15">
        <v>1297596.8252878319</v>
      </c>
      <c r="BP66" s="15">
        <v>113667.15687780603</v>
      </c>
      <c r="BQ66" s="15">
        <v>35858.813604558381</v>
      </c>
      <c r="BR66" s="15">
        <v>72939.104626999993</v>
      </c>
      <c r="BS66" s="15">
        <v>14472.999999999998</v>
      </c>
      <c r="BT66" s="15">
        <v>61871.999999999993</v>
      </c>
      <c r="BU66" s="15">
        <v>7021</v>
      </c>
      <c r="BV66" s="15">
        <v>5281.0000000000009</v>
      </c>
      <c r="BW66" s="15">
        <v>3433</v>
      </c>
      <c r="BX66" s="15">
        <v>1534.0000000000011</v>
      </c>
      <c r="BY66" s="15">
        <v>11581</v>
      </c>
      <c r="BZ66" s="15">
        <v>20041.999999999996</v>
      </c>
      <c r="CA66" s="15">
        <v>7955</v>
      </c>
      <c r="CB66" s="15">
        <v>1839</v>
      </c>
      <c r="CC66" s="15">
        <v>12726</v>
      </c>
      <c r="CD66" s="15">
        <v>11176</v>
      </c>
      <c r="CE66" s="15">
        <v>18.959999999999997</v>
      </c>
      <c r="CF66" s="15">
        <v>5725</v>
      </c>
      <c r="CG66" s="15">
        <v>29627.000000000004</v>
      </c>
      <c r="CH66" s="15">
        <v>265205</v>
      </c>
      <c r="CI66" s="15">
        <v>75419</v>
      </c>
      <c r="CJ66" s="15">
        <v>1939.3088568033536</v>
      </c>
      <c r="CK66" s="15">
        <v>15352.000000000004</v>
      </c>
      <c r="CL66" s="15">
        <v>412219.00000000006</v>
      </c>
      <c r="CM66" s="15">
        <v>326455</v>
      </c>
      <c r="CN66" s="15">
        <v>13828.999999999996</v>
      </c>
      <c r="CO66" s="15">
        <v>-910.05364850976639</v>
      </c>
      <c r="CP66" s="15">
        <v>27165.105899315786</v>
      </c>
      <c r="CQ66" s="15">
        <v>44695</v>
      </c>
      <c r="CR66" s="15">
        <v>45684.210526315786</v>
      </c>
      <c r="CS66" s="15">
        <v>43400</v>
      </c>
      <c r="CT66" s="15">
        <v>2284.2105263157914</v>
      </c>
      <c r="CU66" s="15">
        <v>21132</v>
      </c>
      <c r="CV66" s="15">
        <v>15650.219033005598</v>
      </c>
      <c r="CW66" s="15">
        <v>126525</v>
      </c>
      <c r="CX66" s="15">
        <v>24523</v>
      </c>
      <c r="CY66" s="15">
        <v>0</v>
      </c>
      <c r="CZ66" s="15">
        <v>6298</v>
      </c>
      <c r="DA66" s="19">
        <v>0</v>
      </c>
      <c r="DB66" s="19">
        <v>2.4592409927150727E-2</v>
      </c>
      <c r="DC66" s="19">
        <v>0.24811241263581929</v>
      </c>
      <c r="DD66" s="19">
        <v>0.1140804067111435</v>
      </c>
      <c r="DE66" s="19">
        <v>0.25438022179249586</v>
      </c>
      <c r="DF66" s="19">
        <v>0.21370048712489007</v>
      </c>
      <c r="DG66" s="19">
        <v>0.14513406180850044</v>
      </c>
      <c r="DH66" s="15">
        <v>17199.053648509769</v>
      </c>
      <c r="DI66" s="15">
        <v>1283122.7716393224</v>
      </c>
      <c r="DJ66" s="15">
        <v>1017917.7716393223</v>
      </c>
      <c r="DK66" s="15">
        <v>1346297.9999999998</v>
      </c>
      <c r="DL66" s="18">
        <v>0.11189381211907849</v>
      </c>
      <c r="DM66" s="15">
        <v>914549.7312577907</v>
      </c>
      <c r="DN66" s="15">
        <v>778515.08883410203</v>
      </c>
      <c r="DO66" s="15">
        <v>65957.71813368611</v>
      </c>
      <c r="DP66" s="15">
        <v>39698.834956397019</v>
      </c>
      <c r="DQ66" s="15">
        <v>22584.496137173417</v>
      </c>
      <c r="DR66" s="15">
        <v>7793.593196431988</v>
      </c>
      <c r="DS66" s="15">
        <v>941900.7312577907</v>
      </c>
      <c r="DT66" s="18">
        <f t="shared" si="4"/>
        <v>0.1347462947817874</v>
      </c>
      <c r="DU66" s="18">
        <f t="shared" si="5"/>
        <v>0.25203940390123991</v>
      </c>
      <c r="DV66" s="18">
        <f t="shared" si="6"/>
        <v>4.0470146808113304E-2</v>
      </c>
      <c r="DW66" s="18">
        <f t="shared" si="7"/>
        <v>-6.9125561065870228E-2</v>
      </c>
      <c r="DX66" s="18">
        <f t="shared" si="8"/>
        <v>9.741155556670153E-2</v>
      </c>
      <c r="DY66" s="18">
        <f t="shared" si="9"/>
        <v>0.34053993698577961</v>
      </c>
      <c r="DZ66" s="18">
        <f t="shared" si="10"/>
        <v>-0.10863945459037866</v>
      </c>
      <c r="EA66" s="18">
        <f t="shared" si="11"/>
        <v>0.17218705082821167</v>
      </c>
      <c r="EB66" s="18">
        <f t="shared" si="12"/>
        <v>0.14037062678441561</v>
      </c>
      <c r="EC66" s="18">
        <f t="shared" si="13"/>
        <v>0.69842827718619882</v>
      </c>
      <c r="ED66" s="18">
        <f t="shared" si="14"/>
        <v>6.8548632243402255E-2</v>
      </c>
      <c r="EE66" s="18">
        <f t="shared" si="15"/>
        <v>4.6159491404964025E-2</v>
      </c>
      <c r="EF66" s="18">
        <f t="shared" si="16"/>
        <v>1.3954985479054233E-2</v>
      </c>
      <c r="EG66" s="18">
        <f t="shared" si="17"/>
        <v>6.4901660589648663E-2</v>
      </c>
      <c r="EH66" s="18">
        <f t="shared" si="18"/>
        <v>6.9932730157535677E-2</v>
      </c>
      <c r="EI66" s="18">
        <f t="shared" si="19"/>
        <v>2.5265130595788703E-2</v>
      </c>
      <c r="EJ66" s="18">
        <f t="shared" si="20"/>
        <v>4.5255047933340051E-2</v>
      </c>
      <c r="EK66" s="18">
        <f t="shared" si="21"/>
        <v>-2.6156170476372993E-2</v>
      </c>
      <c r="EL66" s="18">
        <f t="shared" si="22"/>
        <v>-1.5523309103927959E-2</v>
      </c>
      <c r="EM66" s="6">
        <v>4.021781866792483</v>
      </c>
      <c r="EN66" s="6">
        <v>4.2088287324638998</v>
      </c>
      <c r="EO66" s="6">
        <v>4.6713983616802457</v>
      </c>
      <c r="EP66" s="6">
        <v>4.1159601500423504</v>
      </c>
      <c r="EQ66" s="14">
        <v>138443.58360000001</v>
      </c>
      <c r="ER66" s="14">
        <v>22061.483</v>
      </c>
      <c r="ES66" s="15">
        <v>213898</v>
      </c>
      <c r="ET66" s="15">
        <v>91061</v>
      </c>
      <c r="EU66" s="15">
        <v>2</v>
      </c>
      <c r="EV66" s="6">
        <v>13200</v>
      </c>
      <c r="EW66" s="6">
        <v>9.9000000000000005E-2</v>
      </c>
      <c r="EX66" s="16">
        <v>8.7528120596873038E-2</v>
      </c>
      <c r="EY66" s="16">
        <f t="shared" si="23"/>
        <v>1.1471879403126967E-2</v>
      </c>
      <c r="EZ66" s="6">
        <v>1.7999999999999999E-2</v>
      </c>
      <c r="FA66" s="20">
        <v>1300</v>
      </c>
      <c r="FB66" s="20">
        <v>1300</v>
      </c>
      <c r="FC66" s="20">
        <v>1300</v>
      </c>
      <c r="GF66" s="17">
        <v>146</v>
      </c>
      <c r="GG66" s="17">
        <v>219</v>
      </c>
      <c r="GJ66" s="6">
        <v>0.28848082348396048</v>
      </c>
      <c r="GK66" s="6">
        <v>0.42645083266454697</v>
      </c>
    </row>
    <row r="67" spans="1:195" ht="15">
      <c r="A67" s="12">
        <v>1975</v>
      </c>
      <c r="B67" s="13">
        <v>0.92259999649454427</v>
      </c>
      <c r="C67" s="15">
        <f t="shared" si="0"/>
        <v>3929981.3534901915</v>
      </c>
      <c r="D67" s="15">
        <v>415316.0532447549</v>
      </c>
      <c r="E67" s="15">
        <v>63233.212212149287</v>
      </c>
      <c r="F67" s="15">
        <v>915986.513158952</v>
      </c>
      <c r="G67" s="15">
        <v>11214.519798940988</v>
      </c>
      <c r="H67" s="15">
        <v>41821.500000000167</v>
      </c>
      <c r="I67" s="15">
        <v>693376</v>
      </c>
      <c r="J67" s="15">
        <v>518902.3725541333</v>
      </c>
      <c r="K67" s="15">
        <v>174473.62744586667</v>
      </c>
      <c r="L67" s="15">
        <v>21634.890966759562</v>
      </c>
      <c r="M67" s="15">
        <v>406937.49999999994</v>
      </c>
      <c r="N67" s="15">
        <v>-439212.99999999994</v>
      </c>
      <c r="O67" s="15">
        <v>-150690.5</v>
      </c>
      <c r="P67" s="15">
        <v>1337399.5</v>
      </c>
      <c r="Q67" s="15">
        <v>0</v>
      </c>
      <c r="R67" s="15">
        <v>580783.5</v>
      </c>
      <c r="S67" s="15">
        <v>0.23954305745451557</v>
      </c>
      <c r="T67" s="15">
        <v>-270941.00000000006</v>
      </c>
      <c r="U67" s="15">
        <v>152432.16410863434</v>
      </c>
      <c r="V67" s="15">
        <v>1696.2220287564276</v>
      </c>
      <c r="W67" s="15">
        <v>1812.4717210012807</v>
      </c>
      <c r="X67" s="15">
        <v>1444.3432105577001</v>
      </c>
      <c r="Y67" s="15">
        <v>478.04211331205016</v>
      </c>
      <c r="Z67" s="15">
        <v>478.04211331205016</v>
      </c>
      <c r="AA67" s="15">
        <v>1462092.5472565775</v>
      </c>
      <c r="AB67" s="15">
        <v>46264</v>
      </c>
      <c r="AC67" s="15">
        <v>32930.029212463553</v>
      </c>
      <c r="AD67" s="15">
        <v>17274.248135639813</v>
      </c>
      <c r="AE67" s="15">
        <v>-997.30821070870093</v>
      </c>
      <c r="AF67" s="15">
        <v>30316.999999999996</v>
      </c>
      <c r="AG67" s="15">
        <v>23067</v>
      </c>
      <c r="AH67" s="15">
        <v>366004.51639397215</v>
      </c>
      <c r="AI67" s="15">
        <v>88020.000000000015</v>
      </c>
      <c r="AJ67" s="15">
        <v>67739.842989099372</v>
      </c>
      <c r="AK67" s="15">
        <v>20280.157010900621</v>
      </c>
      <c r="AL67" s="15">
        <f t="shared" si="1"/>
        <v>93274.577846327549</v>
      </c>
      <c r="AM67" s="15">
        <v>87698.761058808785</v>
      </c>
      <c r="AN67" s="15">
        <v>5575.8167875187673</v>
      </c>
      <c r="AO67" s="15">
        <v>121677.99669972472</v>
      </c>
      <c r="AP67" s="15">
        <v>36727.151968226855</v>
      </c>
      <c r="AQ67" s="15">
        <v>15526.143689991743</v>
      </c>
      <c r="AR67" s="15">
        <f t="shared" si="25"/>
        <v>21201.008278235113</v>
      </c>
      <c r="AS67" s="15">
        <v>74739.849954761899</v>
      </c>
      <c r="AT67" s="15">
        <v>29377.348673379027</v>
      </c>
      <c r="AU67" s="15">
        <f t="shared" si="2"/>
        <v>45362.501281382873</v>
      </c>
      <c r="AV67" s="15">
        <v>-41336.999999999993</v>
      </c>
      <c r="AW67" s="15">
        <v>-23375</v>
      </c>
      <c r="AX67" s="15">
        <v>1096088.0308626054</v>
      </c>
      <c r="AY67" s="15">
        <v>947229.99999999988</v>
      </c>
      <c r="AZ67" s="15">
        <v>91788.970787536498</v>
      </c>
      <c r="BA67" s="15">
        <v>16057.503434700777</v>
      </c>
      <c r="BB67" s="15">
        <f t="shared" si="26"/>
        <v>75731.467352835723</v>
      </c>
      <c r="BC67" s="15">
        <v>60565.751864360209</v>
      </c>
      <c r="BD67" s="15">
        <v>-3496.6917892912984</v>
      </c>
      <c r="BE67" s="15">
        <f t="shared" si="3"/>
        <v>77840.000000000029</v>
      </c>
      <c r="BF67" s="15">
        <v>814838</v>
      </c>
      <c r="BG67" s="15">
        <v>132392.00000000006</v>
      </c>
      <c r="BH67" s="15">
        <v>53665.744662309364</v>
      </c>
      <c r="BI67" s="15">
        <v>7031.2553376906317</v>
      </c>
      <c r="BJ67" s="15">
        <v>11176</v>
      </c>
      <c r="BK67" s="15">
        <v>7658</v>
      </c>
      <c r="BL67" s="15">
        <v>2502.5899409219483</v>
      </c>
      <c r="BM67" s="15">
        <v>327.8879104516858</v>
      </c>
      <c r="BN67" s="15">
        <v>521.52214862636595</v>
      </c>
      <c r="BO67" s="15">
        <v>1400297.6963661599</v>
      </c>
      <c r="BP67" s="15">
        <v>128480.21469347891</v>
      </c>
      <c r="BQ67" s="15">
        <v>45159.246975938571</v>
      </c>
      <c r="BR67" s="15">
        <v>84682.61077900001</v>
      </c>
      <c r="BS67" s="15">
        <v>27162.000000000007</v>
      </c>
      <c r="BT67" s="15">
        <v>70804</v>
      </c>
      <c r="BU67" s="15">
        <v>18140</v>
      </c>
      <c r="BV67" s="15">
        <v>5913</v>
      </c>
      <c r="BW67" s="15">
        <v>4597</v>
      </c>
      <c r="BX67" s="15">
        <v>2240.9999999999909</v>
      </c>
      <c r="BY67" s="15">
        <v>13950</v>
      </c>
      <c r="BZ67" s="15">
        <v>24791.999999999993</v>
      </c>
      <c r="CA67" s="15">
        <v>9305</v>
      </c>
      <c r="CB67" s="15">
        <v>2735.9999999999995</v>
      </c>
      <c r="CC67" s="15">
        <v>15633</v>
      </c>
      <c r="CD67" s="15">
        <v>13863</v>
      </c>
      <c r="CE67" s="15">
        <v>20.2</v>
      </c>
      <c r="CF67" s="15">
        <v>8108.0000000000009</v>
      </c>
      <c r="CG67" s="15">
        <v>37604</v>
      </c>
      <c r="CH67" s="15">
        <v>296725</v>
      </c>
      <c r="CI67" s="15">
        <v>88350</v>
      </c>
      <c r="CJ67" s="15">
        <v>1994.4527434225317</v>
      </c>
      <c r="CK67" s="15">
        <v>18164</v>
      </c>
      <c r="CL67" s="15">
        <v>420852</v>
      </c>
      <c r="CM67" s="15">
        <v>373071</v>
      </c>
      <c r="CN67" s="15">
        <v>-45488.000000000044</v>
      </c>
      <c r="CO67" s="15">
        <v>-17758.522148626369</v>
      </c>
      <c r="CP67" s="15">
        <v>34394.126063105257</v>
      </c>
      <c r="CQ67" s="15">
        <v>46723</v>
      </c>
      <c r="CR67" s="15">
        <v>57294.73684210526</v>
      </c>
      <c r="CS67" s="15">
        <v>53099.999999999993</v>
      </c>
      <c r="CT67" s="15">
        <v>4194.7368421052652</v>
      </c>
      <c r="CU67" s="15">
        <v>25510</v>
      </c>
      <c r="CV67" s="15">
        <v>18769.56224278341</v>
      </c>
      <c r="CW67" s="15">
        <v>120730</v>
      </c>
      <c r="CX67" s="15">
        <v>26877</v>
      </c>
      <c r="CY67" s="15">
        <v>0</v>
      </c>
      <c r="CZ67" s="15">
        <v>6448</v>
      </c>
      <c r="DA67" s="19">
        <v>0</v>
      </c>
      <c r="DB67" s="19">
        <v>2.9164936996216806E-2</v>
      </c>
      <c r="DC67" s="19">
        <v>0.26004310335632874</v>
      </c>
      <c r="DD67" s="19">
        <v>0.11056251575347464</v>
      </c>
      <c r="DE67" s="19">
        <v>0.25333782503095736</v>
      </c>
      <c r="DF67" s="19">
        <v>0.20571718158816191</v>
      </c>
      <c r="DG67" s="19">
        <v>0.14117443727486043</v>
      </c>
      <c r="DH67" s="15">
        <v>18123.522148626369</v>
      </c>
      <c r="DI67" s="15">
        <v>1428196.1742175336</v>
      </c>
      <c r="DJ67" s="15">
        <v>1131471.1742175333</v>
      </c>
      <c r="DK67" s="15">
        <v>1445923</v>
      </c>
      <c r="DL67" s="18">
        <v>0.11118107219569001</v>
      </c>
      <c r="DM67" s="15">
        <v>965991.37443402468</v>
      </c>
      <c r="DN67" s="15">
        <v>822746.71198217175</v>
      </c>
      <c r="DO67" s="15">
        <v>68719.569375525607</v>
      </c>
      <c r="DP67" s="15">
        <v>43592.667897440806</v>
      </c>
      <c r="DQ67" s="15">
        <v>23148.09188670653</v>
      </c>
      <c r="DR67" s="15">
        <v>7784.3332921801093</v>
      </c>
      <c r="DS67" s="15">
        <v>994271.37443402468</v>
      </c>
      <c r="DT67" s="18">
        <f t="shared" si="4"/>
        <v>0.1111839738942937</v>
      </c>
      <c r="DU67" s="18">
        <f t="shared" si="5"/>
        <v>0.26266174119459945</v>
      </c>
      <c r="DV67" s="18">
        <f t="shared" si="6"/>
        <v>3.8786994236820055E-2</v>
      </c>
      <c r="DW67" s="18">
        <f t="shared" si="7"/>
        <v>-6.8942057386450206E-2</v>
      </c>
      <c r="DX67" s="18">
        <f t="shared" si="8"/>
        <v>0.10354692895389983</v>
      </c>
      <c r="DY67" s="18">
        <f t="shared" si="9"/>
        <v>0.34030683092485003</v>
      </c>
      <c r="DZ67" s="18">
        <f t="shared" si="10"/>
        <v>-0.11175956333989669</v>
      </c>
      <c r="EA67" s="18">
        <f t="shared" si="11"/>
        <v>0.17643238927437077</v>
      </c>
      <c r="EB67" s="18">
        <f t="shared" si="12"/>
        <v>0.14778276224751291</v>
      </c>
      <c r="EC67" s="18">
        <f t="shared" si="13"/>
        <v>0.69329089773608199</v>
      </c>
      <c r="ED67" s="18">
        <f t="shared" si="14"/>
        <v>6.7181632718096129E-2</v>
      </c>
      <c r="EE67" s="18">
        <f t="shared" si="15"/>
        <v>4.6848859164076766E-2</v>
      </c>
      <c r="EF67" s="18">
        <f t="shared" si="16"/>
        <v>1.4025751724608172E-2</v>
      </c>
      <c r="EG67" s="18">
        <f t="shared" si="17"/>
        <v>6.4508675666911416E-2</v>
      </c>
      <c r="EH67" s="18">
        <f t="shared" si="18"/>
        <v>7.2969618329017008E-2</v>
      </c>
      <c r="EI67" s="18">
        <f t="shared" si="19"/>
        <v>2.5400489492335938E-2</v>
      </c>
      <c r="EJ67" s="18">
        <f t="shared" si="20"/>
        <v>5.1690062302599725E-2</v>
      </c>
      <c r="EK67" s="18">
        <f t="shared" si="21"/>
        <v>-2.8588659285452955E-2</v>
      </c>
      <c r="EL67" s="18">
        <f t="shared" si="22"/>
        <v>-1.6166144393581123E-2</v>
      </c>
      <c r="EM67" s="6">
        <v>3.6800259030076274</v>
      </c>
      <c r="EN67" s="6">
        <v>3.8643197099040569</v>
      </c>
      <c r="EO67" s="6">
        <v>4.2806680154430499</v>
      </c>
      <c r="EP67" s="6">
        <v>3.7992181682799702</v>
      </c>
      <c r="EQ67" s="14">
        <v>141054.91199999998</v>
      </c>
      <c r="ER67" s="14">
        <v>22696.294999999998</v>
      </c>
      <c r="ES67" s="15">
        <v>215981</v>
      </c>
      <c r="ET67" s="15">
        <v>93293</v>
      </c>
      <c r="EU67" s="15">
        <v>2.1</v>
      </c>
      <c r="EV67" s="6">
        <v>14100</v>
      </c>
      <c r="EW67" s="6">
        <v>9.9000000000000005E-2</v>
      </c>
      <c r="EX67" s="16">
        <v>8.7531652661064413E-2</v>
      </c>
      <c r="EY67" s="16">
        <f t="shared" si="23"/>
        <v>1.1468347338935592E-2</v>
      </c>
      <c r="EZ67" s="6">
        <v>1.7999999999999999E-2</v>
      </c>
      <c r="FA67" s="20">
        <v>1600</v>
      </c>
      <c r="FB67" s="20">
        <v>1600</v>
      </c>
      <c r="FC67" s="20">
        <v>1900</v>
      </c>
      <c r="GF67" s="17">
        <v>157.69999999999999</v>
      </c>
      <c r="GG67" s="17">
        <v>236.6</v>
      </c>
      <c r="GJ67" s="6">
        <v>0.25360522639488914</v>
      </c>
      <c r="GK67" s="6">
        <v>0.41553301510764551</v>
      </c>
    </row>
    <row r="68" spans="1:195" ht="15">
      <c r="A68" s="12">
        <v>1976</v>
      </c>
      <c r="B68" s="13">
        <v>0.92994438543698266</v>
      </c>
      <c r="C68" s="15">
        <f t="shared" si="0"/>
        <v>4473088.0067888936</v>
      </c>
      <c r="D68" s="15">
        <v>542164.90287055494</v>
      </c>
      <c r="E68" s="15">
        <v>68710.646768476174</v>
      </c>
      <c r="F68" s="15">
        <v>1014434.5790480685</v>
      </c>
      <c r="G68" s="15">
        <v>11466.048427957487</v>
      </c>
      <c r="H68" s="15">
        <v>46740.500000000095</v>
      </c>
      <c r="I68" s="15">
        <v>767480</v>
      </c>
      <c r="J68" s="15">
        <v>586442.64002522943</v>
      </c>
      <c r="K68" s="15">
        <v>181037.35997477063</v>
      </c>
      <c r="L68" s="15">
        <v>21848.925187748424</v>
      </c>
      <c r="M68" s="15">
        <v>447072.5</v>
      </c>
      <c r="N68" s="15">
        <v>-488080</v>
      </c>
      <c r="O68" s="15">
        <v>-159097.99999999997</v>
      </c>
      <c r="P68" s="15">
        <v>1501817.5</v>
      </c>
      <c r="Q68" s="15">
        <v>0</v>
      </c>
      <c r="R68" s="15">
        <v>674005.5</v>
      </c>
      <c r="S68" s="15">
        <v>0.26456255602168788</v>
      </c>
      <c r="T68" s="15">
        <v>-292871</v>
      </c>
      <c r="U68" s="15">
        <v>158297.90448608823</v>
      </c>
      <c r="V68" s="15">
        <v>2265.40532261417</v>
      </c>
      <c r="W68" s="15">
        <v>1981.2006412152543</v>
      </c>
      <c r="X68" s="15">
        <v>1798.8965002788009</v>
      </c>
      <c r="Y68" s="15">
        <v>552.73544763684515</v>
      </c>
      <c r="Z68" s="15">
        <v>552.73544763684515</v>
      </c>
      <c r="AA68" s="15">
        <v>1630663.2114081783</v>
      </c>
      <c r="AB68" s="15">
        <v>59418</v>
      </c>
      <c r="AC68" s="15">
        <v>36743.919567899226</v>
      </c>
      <c r="AD68" s="15">
        <v>19674.588054321302</v>
      </c>
      <c r="AE68" s="15">
        <v>-1175.8041860440858</v>
      </c>
      <c r="AF68" s="15">
        <v>33366</v>
      </c>
      <c r="AG68" s="15">
        <v>24881</v>
      </c>
      <c r="AH68" s="15">
        <v>418998.91484435479</v>
      </c>
      <c r="AI68" s="15">
        <v>94299.999999999985</v>
      </c>
      <c r="AJ68" s="15">
        <v>72287.278038533521</v>
      </c>
      <c r="AK68" s="15">
        <v>22012.72196146649</v>
      </c>
      <c r="AL68" s="15">
        <f t="shared" si="1"/>
        <v>118295.52063564557</v>
      </c>
      <c r="AM68" s="15">
        <v>112646.91284856564</v>
      </c>
      <c r="AN68" s="15">
        <v>5648.6077870799354</v>
      </c>
      <c r="AO68" s="15">
        <v>130217.05289326116</v>
      </c>
      <c r="AP68" s="15">
        <v>40784.248652993243</v>
      </c>
      <c r="AQ68" s="15">
        <v>17584.440022474813</v>
      </c>
      <c r="AR68" s="15">
        <f t="shared" si="25"/>
        <v>23199.80863051843</v>
      </c>
      <c r="AS68" s="15">
        <v>86714.308794177647</v>
      </c>
      <c r="AT68" s="15">
        <v>37049.274868862543</v>
      </c>
      <c r="AU68" s="15">
        <f t="shared" si="2"/>
        <v>49665.033925315103</v>
      </c>
      <c r="AV68" s="15">
        <v>-46280</v>
      </c>
      <c r="AW68" s="15">
        <v>-23530.999999999996</v>
      </c>
      <c r="AX68" s="15">
        <v>1211664.2965638237</v>
      </c>
      <c r="AY68" s="15">
        <v>1048347</v>
      </c>
      <c r="AZ68" s="15">
        <v>101185.08043210073</v>
      </c>
      <c r="BA68" s="15">
        <v>18070.760319620338</v>
      </c>
      <c r="BB68" s="15">
        <f t="shared" si="26"/>
        <v>83114.320112480389</v>
      </c>
      <c r="BC68" s="15">
        <v>66081.41194567873</v>
      </c>
      <c r="BD68" s="15">
        <v>-3949.1958139559142</v>
      </c>
      <c r="BE68" s="15">
        <f t="shared" si="3"/>
        <v>85756.000000000029</v>
      </c>
      <c r="BF68" s="15">
        <v>899746</v>
      </c>
      <c r="BG68" s="15">
        <v>148601</v>
      </c>
      <c r="BH68" s="15">
        <v>59621.964913750955</v>
      </c>
      <c r="BI68" s="15">
        <v>7747.0350862490395</v>
      </c>
      <c r="BJ68" s="15">
        <v>12405</v>
      </c>
      <c r="BK68" s="15">
        <v>11046</v>
      </c>
      <c r="BL68" s="15">
        <v>2623.0046418192674</v>
      </c>
      <c r="BM68" s="15">
        <v>340.82253110851968</v>
      </c>
      <c r="BN68" s="15">
        <v>546.17282707221261</v>
      </c>
      <c r="BO68" s="15">
        <v>1560603.2450008267</v>
      </c>
      <c r="BP68" s="15">
        <v>139168.3008571383</v>
      </c>
      <c r="BQ68" s="15">
        <v>54067.152566692654</v>
      </c>
      <c r="BR68" s="15">
        <v>96223.487016479368</v>
      </c>
      <c r="BS68" s="15">
        <v>26952</v>
      </c>
      <c r="BT68" s="15">
        <v>79822</v>
      </c>
      <c r="BU68" s="15">
        <v>16386</v>
      </c>
      <c r="BV68" s="15">
        <v>6137</v>
      </c>
      <c r="BW68" s="15">
        <v>4598</v>
      </c>
      <c r="BX68" s="15">
        <v>2948.0000000000141</v>
      </c>
      <c r="BY68" s="15">
        <v>13765</v>
      </c>
      <c r="BZ68" s="15">
        <v>28282.000000000015</v>
      </c>
      <c r="CA68" s="15">
        <v>10105</v>
      </c>
      <c r="CB68" s="15">
        <v>3223</v>
      </c>
      <c r="CC68" s="15">
        <v>18795</v>
      </c>
      <c r="CD68" s="15">
        <v>15457</v>
      </c>
      <c r="CE68" s="15">
        <v>20.079999999999998</v>
      </c>
      <c r="CF68" s="15">
        <v>7658</v>
      </c>
      <c r="CG68" s="15">
        <v>41910.000000000007</v>
      </c>
      <c r="CH68" s="15">
        <v>314508</v>
      </c>
      <c r="CI68" s="15">
        <v>94997</v>
      </c>
      <c r="CJ68" s="15">
        <v>2345.7885918216052</v>
      </c>
      <c r="CK68" s="15">
        <v>23766.000000000004</v>
      </c>
      <c r="CL68" s="15">
        <v>484662</v>
      </c>
      <c r="CM68" s="15">
        <v>398465.00000000006</v>
      </c>
      <c r="CN68" s="15">
        <v>-15103.99999999998</v>
      </c>
      <c r="CO68" s="15">
        <v>-14829.172827072212</v>
      </c>
      <c r="CP68" s="15">
        <v>30821.986667731166</v>
      </c>
      <c r="CQ68" s="15">
        <v>54398</v>
      </c>
      <c r="CR68" s="15">
        <v>57789.473684210527</v>
      </c>
      <c r="CS68" s="15">
        <v>53000</v>
      </c>
      <c r="CT68" s="15">
        <v>4789.4736842105294</v>
      </c>
      <c r="CU68" s="15">
        <v>32049</v>
      </c>
      <c r="CV68" s="15">
        <v>19689.654692775654</v>
      </c>
      <c r="CW68" s="15">
        <v>141597</v>
      </c>
      <c r="CX68" s="15">
        <v>31074</v>
      </c>
      <c r="CY68" s="15">
        <v>1271</v>
      </c>
      <c r="CZ68" s="15">
        <v>7236</v>
      </c>
      <c r="DA68" s="19">
        <v>0</v>
      </c>
      <c r="DB68" s="19">
        <v>3.3737464065282774E-2</v>
      </c>
      <c r="DC68" s="19">
        <v>0.27197379407683842</v>
      </c>
      <c r="DD68" s="19">
        <v>0.10704462479580568</v>
      </c>
      <c r="DE68" s="19">
        <v>0.25229542826941881</v>
      </c>
      <c r="DF68" s="19">
        <v>0.1977338760514338</v>
      </c>
      <c r="DG68" s="19">
        <v>0.13721481274122041</v>
      </c>
      <c r="DH68" s="15">
        <v>19955.172827072234</v>
      </c>
      <c r="DI68" s="15">
        <v>1560910.0721737547</v>
      </c>
      <c r="DJ68" s="15">
        <v>1246402.0721737547</v>
      </c>
      <c r="DK68" s="15">
        <v>1609243</v>
      </c>
      <c r="DL68" s="18">
        <v>0.10445117169781541</v>
      </c>
      <c r="DM68" s="15">
        <v>1068764.5899609402</v>
      </c>
      <c r="DN68" s="15">
        <v>910513.88774421904</v>
      </c>
      <c r="DO68" s="15">
        <v>74810.543645651065</v>
      </c>
      <c r="DP68" s="15">
        <v>48706.306287755688</v>
      </c>
      <c r="DQ68" s="15">
        <v>25963.549457275618</v>
      </c>
      <c r="DR68" s="15">
        <v>8770.3028260388273</v>
      </c>
      <c r="DS68" s="15">
        <v>1106043.5899609402</v>
      </c>
      <c r="DT68" s="18">
        <f t="shared" si="4"/>
        <v>0.12609048317455154</v>
      </c>
      <c r="DU68" s="18">
        <f t="shared" si="5"/>
        <v>0.25515969560899543</v>
      </c>
      <c r="DV68" s="18">
        <f t="shared" si="6"/>
        <v>3.5388953726337685E-2</v>
      </c>
      <c r="DW68" s="18">
        <f t="shared" si="7"/>
        <v>-6.5474008013145263E-2</v>
      </c>
      <c r="DX68" s="18">
        <f t="shared" si="8"/>
        <v>9.9947172808017473E-2</v>
      </c>
      <c r="DY68" s="18">
        <f t="shared" si="9"/>
        <v>0.33574512679398705</v>
      </c>
      <c r="DZ68" s="18">
        <f t="shared" si="10"/>
        <v>-0.10911477691903924</v>
      </c>
      <c r="EA68" s="18">
        <f t="shared" si="11"/>
        <v>0.17157721887769267</v>
      </c>
      <c r="EB68" s="18">
        <f t="shared" si="12"/>
        <v>0.15068013394260266</v>
      </c>
      <c r="EC68" s="18">
        <f t="shared" si="13"/>
        <v>0.68890263203112367</v>
      </c>
      <c r="ED68" s="18">
        <f t="shared" si="14"/>
        <v>6.6491980452994232E-2</v>
      </c>
      <c r="EE68" s="18">
        <f t="shared" si="15"/>
        <v>4.4920051253001268E-2</v>
      </c>
      <c r="EF68" s="18">
        <f t="shared" si="16"/>
        <v>1.3678929758567531E-2</v>
      </c>
      <c r="EG68" s="18">
        <f t="shared" si="17"/>
        <v>7.3510042072978149E-2</v>
      </c>
      <c r="EH68" s="18">
        <f t="shared" si="18"/>
        <v>6.7607466047752127E-2</v>
      </c>
      <c r="EI68" s="18">
        <f t="shared" si="19"/>
        <v>2.5343747745364277E-2</v>
      </c>
      <c r="EJ68" s="18">
        <f t="shared" si="20"/>
        <v>5.3885155190470081E-2</v>
      </c>
      <c r="EK68" s="18">
        <f t="shared" si="21"/>
        <v>-2.8758863639611918E-2</v>
      </c>
      <c r="EL68" s="18">
        <f t="shared" si="22"/>
        <v>-1.4622403204488071E-2</v>
      </c>
      <c r="EM68" s="6">
        <v>3.4879121628533434</v>
      </c>
      <c r="EN68" s="6">
        <v>3.6643146244492999</v>
      </c>
      <c r="EO68" s="6">
        <v>4.0474506015964158</v>
      </c>
      <c r="EP68" s="6">
        <v>3.6017011964846648</v>
      </c>
      <c r="EQ68" s="14">
        <v>143608.93439999997</v>
      </c>
      <c r="ER68" s="14">
        <v>23278.100999999999</v>
      </c>
      <c r="ES68" s="15">
        <v>218086</v>
      </c>
      <c r="ET68" s="15">
        <v>95417</v>
      </c>
      <c r="EU68" s="15">
        <v>2.2999999999999998</v>
      </c>
      <c r="EV68" s="6">
        <v>15300</v>
      </c>
      <c r="EW68" s="6">
        <v>9.9000000000000005E-2</v>
      </c>
      <c r="EX68" s="16">
        <v>8.761558768070396E-2</v>
      </c>
      <c r="EY68" s="16">
        <f t="shared" si="23"/>
        <v>1.1384412319296044E-2</v>
      </c>
      <c r="EZ68" s="6">
        <v>1.7999999999999999E-2</v>
      </c>
      <c r="FA68" s="20">
        <v>1700</v>
      </c>
      <c r="FB68" s="20">
        <v>1700</v>
      </c>
      <c r="FC68" s="20">
        <v>2100</v>
      </c>
      <c r="GF68" s="17">
        <v>167.8</v>
      </c>
      <c r="GG68" s="17">
        <v>251.8</v>
      </c>
      <c r="GJ68" s="6">
        <v>0.23730241695122117</v>
      </c>
      <c r="GK68" s="6">
        <v>0.41423613110909674</v>
      </c>
    </row>
    <row r="69" spans="1:195" ht="15">
      <c r="A69" s="12">
        <v>1977</v>
      </c>
      <c r="B69" s="13">
        <v>0.93080027585590219</v>
      </c>
      <c r="C69" s="15">
        <f t="shared" ref="C69:C117" si="27">D69+E69+F69+G69+H69+I69+L69+M69+N69+P69+Q69+R69+T69+U69</f>
        <v>4960972.7607447952</v>
      </c>
      <c r="D69" s="15">
        <v>554404.85425124271</v>
      </c>
      <c r="E69" s="15">
        <v>75553.808396187582</v>
      </c>
      <c r="F69" s="15">
        <v>1113931.3486800105</v>
      </c>
      <c r="G69" s="15">
        <v>12112.544463543085</v>
      </c>
      <c r="H69" s="15">
        <v>53356.000000000335</v>
      </c>
      <c r="I69" s="15">
        <v>858588.50000000012</v>
      </c>
      <c r="J69" s="15">
        <v>661027.68855314772</v>
      </c>
      <c r="K69" s="15">
        <v>197560.81144685249</v>
      </c>
      <c r="L69" s="15">
        <v>23945.876224492575</v>
      </c>
      <c r="M69" s="15">
        <v>502810</v>
      </c>
      <c r="N69" s="15">
        <v>-560035</v>
      </c>
      <c r="O69" s="15">
        <v>-175983.99999999997</v>
      </c>
      <c r="P69" s="15">
        <v>1738391.5000000002</v>
      </c>
      <c r="Q69" s="15">
        <v>0</v>
      </c>
      <c r="R69" s="15">
        <v>745023</v>
      </c>
      <c r="S69" s="15">
        <v>0.25728167724254347</v>
      </c>
      <c r="T69" s="15">
        <v>-327841.5</v>
      </c>
      <c r="U69" s="15">
        <v>170731.82872931848</v>
      </c>
      <c r="V69" s="15">
        <v>2535.0110453966658</v>
      </c>
      <c r="W69" s="15">
        <v>2080.4331324709087</v>
      </c>
      <c r="X69" s="15">
        <v>2103.8426693985571</v>
      </c>
      <c r="Y69" s="15">
        <v>609.89102522296321</v>
      </c>
      <c r="Z69" s="15">
        <v>609.89102522296321</v>
      </c>
      <c r="AA69" s="15">
        <v>1816164.3987695086</v>
      </c>
      <c r="AB69" s="15">
        <v>68504</v>
      </c>
      <c r="AC69" s="15">
        <v>39920.581156940156</v>
      </c>
      <c r="AD69" s="15">
        <v>21880.421652146229</v>
      </c>
      <c r="AE69" s="15">
        <v>-1661.4013403443437</v>
      </c>
      <c r="AF69" s="15">
        <v>36554.000000000007</v>
      </c>
      <c r="AG69" s="15">
        <v>26646.000000000004</v>
      </c>
      <c r="AH69" s="15">
        <v>473394.00023825042</v>
      </c>
      <c r="AI69" s="15">
        <v>102105</v>
      </c>
      <c r="AJ69" s="15">
        <v>75463.088816341478</v>
      </c>
      <c r="AK69" s="15">
        <v>26641.911183658525</v>
      </c>
      <c r="AL69" s="15">
        <f t="shared" ref="AL69:AL117" si="28">AM69+AN69</f>
        <v>136951.71521295942</v>
      </c>
      <c r="AM69" s="15">
        <v>130789.68031574914</v>
      </c>
      <c r="AN69" s="15">
        <v>6162.0348972102793</v>
      </c>
      <c r="AO69" s="15">
        <v>147985.61343533936</v>
      </c>
      <c r="AP69" s="15">
        <v>44234.518351636601</v>
      </c>
      <c r="AQ69" s="15">
        <v>19093.953268461893</v>
      </c>
      <c r="AR69" s="15">
        <f t="shared" si="25"/>
        <v>25140.565083174708</v>
      </c>
      <c r="AS69" s="15">
        <v>102656.13292651325</v>
      </c>
      <c r="AT69" s="15">
        <v>45219.420518314953</v>
      </c>
      <c r="AU69" s="15">
        <f t="shared" ref="AU69:AU117" si="29">AS69-AT69</f>
        <v>57436.712408198298</v>
      </c>
      <c r="AV69" s="15">
        <v>-54164</v>
      </c>
      <c r="AW69" s="15">
        <v>-26594</v>
      </c>
      <c r="AX69" s="15">
        <v>1342770.3985312581</v>
      </c>
      <c r="AY69" s="15">
        <v>1165825</v>
      </c>
      <c r="AZ69" s="15">
        <v>110758.41884305983</v>
      </c>
      <c r="BA69" s="15">
        <v>20562.948657054312</v>
      </c>
      <c r="BB69" s="15">
        <f t="shared" si="26"/>
        <v>90195.470186005521</v>
      </c>
      <c r="BC69" s="15">
        <v>71625.578347853763</v>
      </c>
      <c r="BD69" s="15">
        <v>-5438.5986596556559</v>
      </c>
      <c r="BE69" s="15">
        <f t="shared" ref="BE69:BE117" si="30">BC69+AD69</f>
        <v>93506</v>
      </c>
      <c r="BF69" s="15">
        <v>994159</v>
      </c>
      <c r="BG69" s="15">
        <v>171666.00000000006</v>
      </c>
      <c r="BH69" s="15">
        <v>66005.451657985002</v>
      </c>
      <c r="BI69" s="15">
        <v>8669.5483420149903</v>
      </c>
      <c r="BJ69" s="15">
        <v>13744</v>
      </c>
      <c r="BK69" s="15">
        <v>12976</v>
      </c>
      <c r="BL69" s="15">
        <v>2902.7938639344907</v>
      </c>
      <c r="BM69" s="15">
        <v>381.2701996296409</v>
      </c>
      <c r="BN69" s="15">
        <v>604.93593643586837</v>
      </c>
      <c r="BO69" s="15">
        <v>1729365.8855677505</v>
      </c>
      <c r="BP69" s="15">
        <v>157119.27458987993</v>
      </c>
      <c r="BQ69" s="15">
        <v>64243.393882053635</v>
      </c>
      <c r="BR69" s="15">
        <v>109318.15527017567</v>
      </c>
      <c r="BS69" s="15">
        <v>25246.000000000011</v>
      </c>
      <c r="BT69" s="15">
        <v>89024</v>
      </c>
      <c r="BU69" s="15">
        <v>13129</v>
      </c>
      <c r="BV69" s="15">
        <v>6306</v>
      </c>
      <c r="BW69" s="15">
        <v>4394</v>
      </c>
      <c r="BX69" s="15">
        <v>3096.0000000000127</v>
      </c>
      <c r="BY69" s="15">
        <v>13349</v>
      </c>
      <c r="BZ69" s="15">
        <v>29372.000000000015</v>
      </c>
      <c r="CA69" s="15">
        <v>10639</v>
      </c>
      <c r="CB69" s="15">
        <v>3675</v>
      </c>
      <c r="CC69" s="15">
        <v>22101</v>
      </c>
      <c r="CD69" s="15">
        <v>16737</v>
      </c>
      <c r="CE69" s="15">
        <v>19.959999999999997</v>
      </c>
      <c r="CF69" s="15">
        <v>8384</v>
      </c>
      <c r="CG69" s="15">
        <v>47221.999999999993</v>
      </c>
      <c r="CH69" s="15">
        <v>341169</v>
      </c>
      <c r="CI69" s="15">
        <v>101480</v>
      </c>
      <c r="CJ69" s="15">
        <v>2667.6012304915157</v>
      </c>
      <c r="CK69" s="15">
        <v>26144.999999999996</v>
      </c>
      <c r="CL69" s="15">
        <v>545459.00000000012</v>
      </c>
      <c r="CM69" s="15">
        <v>431111.99999999994</v>
      </c>
      <c r="CN69" s="15">
        <v>5128.9999999998809</v>
      </c>
      <c r="CO69" s="15">
        <v>-11217.935936435872</v>
      </c>
      <c r="CP69" s="15">
        <v>33773.05525614012</v>
      </c>
      <c r="CQ69" s="15">
        <v>61104</v>
      </c>
      <c r="CR69" s="15">
        <v>66184.210526315801</v>
      </c>
      <c r="CS69" s="15">
        <v>60500</v>
      </c>
      <c r="CT69" s="15">
        <v>5684.2105263157928</v>
      </c>
      <c r="CU69" s="15">
        <v>38781</v>
      </c>
      <c r="CV69" s="15">
        <v>26740.78716470447</v>
      </c>
      <c r="CW69" s="15">
        <v>162513</v>
      </c>
      <c r="CX69" s="15">
        <v>35366</v>
      </c>
      <c r="CY69" s="15">
        <v>1262</v>
      </c>
      <c r="CZ69" s="15">
        <v>9276</v>
      </c>
      <c r="DA69" s="19">
        <v>0</v>
      </c>
      <c r="DB69" s="19">
        <v>3.8309991134348853E-2</v>
      </c>
      <c r="DC69" s="19">
        <v>0.28390448479734787</v>
      </c>
      <c r="DD69" s="19">
        <v>0.10352673383813682</v>
      </c>
      <c r="DE69" s="19">
        <v>0.25125303150788025</v>
      </c>
      <c r="DF69" s="19">
        <v>0.1897505705147057</v>
      </c>
      <c r="DG69" s="19">
        <v>0.13325518820758039</v>
      </c>
      <c r="DH69" s="15">
        <v>22158.935936435875</v>
      </c>
      <c r="DI69" s="15">
        <v>1713053.9496313145</v>
      </c>
      <c r="DJ69" s="15">
        <v>1371884.9496313147</v>
      </c>
      <c r="DK69" s="15">
        <v>1792687.0000000002</v>
      </c>
      <c r="DL69" s="18">
        <v>0.10867422636710472</v>
      </c>
      <c r="DM69" s="15">
        <v>1175139.9017697203</v>
      </c>
      <c r="DN69" s="15">
        <v>1004125.7980868637</v>
      </c>
      <c r="DO69" s="15">
        <v>79722.518832618516</v>
      </c>
      <c r="DP69" s="15">
        <v>54743.032310090326</v>
      </c>
      <c r="DQ69" s="15">
        <v>28556.107920327519</v>
      </c>
      <c r="DR69" s="15">
        <v>7992.4446198201567</v>
      </c>
      <c r="DS69" s="15">
        <v>1217277.90176972</v>
      </c>
      <c r="DT69" s="18">
        <f t="shared" ref="DT69:DT117" si="31">(D69+L69)/$C69</f>
        <v>0.11658010603325848</v>
      </c>
      <c r="DU69" s="18">
        <f t="shared" ref="DU69:DU117" si="32">(E69+F69+G69+H69)/$C69</f>
        <v>0.25296524735429793</v>
      </c>
      <c r="DV69" s="18">
        <f t="shared" ref="DV69:DV117" si="33">U69/$C69</f>
        <v>3.4414990156826898E-2</v>
      </c>
      <c r="DW69" s="18">
        <f t="shared" ref="DW69:DW117" si="34">T69/$C69</f>
        <v>-6.6084116122173756E-2</v>
      </c>
      <c r="DX69" s="18">
        <f t="shared" ref="DX69:DX117" si="35">M69/$C69</f>
        <v>0.10135310638644036</v>
      </c>
      <c r="DY69" s="18">
        <f t="shared" ref="DY69:DY117" si="36">P69/$C69</f>
        <v>0.35041343378370293</v>
      </c>
      <c r="DZ69" s="18">
        <f t="shared" ref="DZ69:DZ117" si="37">N69/$C69</f>
        <v>-0.11288814250935768</v>
      </c>
      <c r="EA69" s="18">
        <f t="shared" ref="EA69:EA117" si="38">I69/$C69</f>
        <v>0.17306857775834664</v>
      </c>
      <c r="EB69" s="18">
        <f t="shared" ref="EB69:EB117" si="39">(Q69+R69)/$C69</f>
        <v>0.15017679715865825</v>
      </c>
      <c r="EC69" s="18">
        <f t="shared" ref="EC69:EC117" si="40">(AY69+BC69*AY69/(AY69+AZ69))/DK69</f>
        <v>0.68681048539522205</v>
      </c>
      <c r="ED69" s="18">
        <f t="shared" ref="ED69:ED117" si="41">(AZ69+BC69*AZ69/(AY69+AZ69))/DK69</f>
        <v>6.5249967539904571E-2</v>
      </c>
      <c r="EE69" s="18">
        <f t="shared" ref="EE69:EE117" si="42">AJ69/DK69</f>
        <v>4.2094960702198134E-2</v>
      </c>
      <c r="EF69" s="18">
        <f t="shared" ref="EF69:EF117" si="43">AK69/DK69</f>
        <v>1.4861440498903892E-2</v>
      </c>
      <c r="EG69" s="18">
        <f t="shared" ref="EG69:EG117" si="44">AL69/DK69</f>
        <v>7.6394660759496441E-2</v>
      </c>
      <c r="EH69" s="18">
        <f t="shared" ref="EH69:EH117" si="45">(AO69-CK69+CJ69)/DK69</f>
        <v>6.9453404116742556E-2</v>
      </c>
      <c r="EI69" s="18">
        <f t="shared" ref="EI69:EI117" si="46">AP69/DK69</f>
        <v>2.467498138360829E-2</v>
      </c>
      <c r="EJ69" s="18">
        <f t="shared" ref="EJ69:EJ117" si="47">AS69/DK69</f>
        <v>5.7263835196279797E-2</v>
      </c>
      <c r="EK69" s="18">
        <f t="shared" ref="EK69:EK117" si="48">AV69/DK69</f>
        <v>-3.0213863323603058E-2</v>
      </c>
      <c r="EL69" s="18">
        <f t="shared" ref="EL69:EL117" si="49">AW69/DK69</f>
        <v>-1.4834714593233508E-2</v>
      </c>
      <c r="EM69" s="6">
        <v>3.2839989726467191</v>
      </c>
      <c r="EN69" s="6">
        <v>3.4551656590901412</v>
      </c>
      <c r="EO69" s="6">
        <v>3.8003290302118171</v>
      </c>
      <c r="EP69" s="6">
        <v>3.3817272004241783</v>
      </c>
      <c r="EQ69" s="14">
        <v>146305.25279999999</v>
      </c>
      <c r="ER69" s="14">
        <v>23891.845000000001</v>
      </c>
      <c r="ES69" s="15">
        <v>220289</v>
      </c>
      <c r="ET69" s="15">
        <v>98310</v>
      </c>
      <c r="EU69" s="15">
        <v>2.2999999999999998</v>
      </c>
      <c r="EV69" s="6">
        <v>16500</v>
      </c>
      <c r="EW69" s="6">
        <v>9.9000000000000005E-2</v>
      </c>
      <c r="EX69" s="16">
        <v>8.7506390547579735E-2</v>
      </c>
      <c r="EY69" s="16">
        <f t="shared" si="23"/>
        <v>1.149360945242027E-2</v>
      </c>
      <c r="EZ69" s="6">
        <v>1.7999999999999999E-2</v>
      </c>
      <c r="FA69" s="20">
        <v>2200</v>
      </c>
      <c r="FB69" s="20">
        <v>2200</v>
      </c>
      <c r="FC69" s="20">
        <v>3200</v>
      </c>
      <c r="GF69" s="17">
        <v>177.8</v>
      </c>
      <c r="GG69" s="17">
        <v>266.7</v>
      </c>
      <c r="GJ69" s="6">
        <v>0.23330979744450073</v>
      </c>
      <c r="GK69" s="6">
        <v>0.41616532602690265</v>
      </c>
    </row>
    <row r="70" spans="1:195" ht="15">
      <c r="A70" s="12">
        <v>1978</v>
      </c>
      <c r="B70" s="13">
        <v>0.94284556223445815</v>
      </c>
      <c r="C70" s="15">
        <f t="shared" si="27"/>
        <v>5511379.0344720995</v>
      </c>
      <c r="D70" s="15">
        <v>503581.9503187894</v>
      </c>
      <c r="E70" s="15">
        <v>91866.919406930232</v>
      </c>
      <c r="F70" s="15">
        <v>1214641.6329340173</v>
      </c>
      <c r="G70" s="15">
        <v>16371.302890666961</v>
      </c>
      <c r="H70" s="15">
        <v>60566.0000000004</v>
      </c>
      <c r="I70" s="15">
        <v>983490</v>
      </c>
      <c r="J70" s="15">
        <v>760679.35815713543</v>
      </c>
      <c r="K70" s="15">
        <v>222810.64184286454</v>
      </c>
      <c r="L70" s="15">
        <v>27107.501638084956</v>
      </c>
      <c r="M70" s="15">
        <v>575660</v>
      </c>
      <c r="N70" s="15">
        <v>-655819</v>
      </c>
      <c r="O70" s="15">
        <v>-197876.5</v>
      </c>
      <c r="P70" s="15">
        <v>2048841.5</v>
      </c>
      <c r="Q70" s="15">
        <v>0</v>
      </c>
      <c r="R70" s="15">
        <v>834229.49999999988</v>
      </c>
      <c r="S70" s="15">
        <v>0.24732162360112384</v>
      </c>
      <c r="T70" s="15">
        <v>-375128.50000000006</v>
      </c>
      <c r="U70" s="15">
        <v>185970.22728360907</v>
      </c>
      <c r="V70" s="15">
        <v>2709.5265391474663</v>
      </c>
      <c r="W70" s="15">
        <v>2278.9718082306404</v>
      </c>
      <c r="X70" s="15">
        <v>2523.9550485545933</v>
      </c>
      <c r="Y70" s="15">
        <v>698.18105959304285</v>
      </c>
      <c r="Z70" s="15">
        <v>698.18105959304285</v>
      </c>
      <c r="AA70" s="15">
        <v>2049174.4824290171</v>
      </c>
      <c r="AB70" s="15">
        <v>77852</v>
      </c>
      <c r="AC70" s="15">
        <v>45489.67248672335</v>
      </c>
      <c r="AD70" s="15">
        <v>24677.303576036658</v>
      </c>
      <c r="AE70" s="15">
        <v>-2104.7062196888864</v>
      </c>
      <c r="AF70" s="15">
        <v>37250</v>
      </c>
      <c r="AG70" s="15">
        <v>26497.999999999996</v>
      </c>
      <c r="AH70" s="15">
        <v>531377.7522720882</v>
      </c>
      <c r="AI70" s="15">
        <v>110840</v>
      </c>
      <c r="AJ70" s="15">
        <v>83659.423291208019</v>
      </c>
      <c r="AK70" s="15">
        <v>27180.576708791974</v>
      </c>
      <c r="AL70" s="15">
        <f t="shared" si="28"/>
        <v>149785.86000757545</v>
      </c>
      <c r="AM70" s="15">
        <v>142879.18826825262</v>
      </c>
      <c r="AN70" s="15">
        <v>6906.6717393228182</v>
      </c>
      <c r="AO70" s="15">
        <v>166740.54577651457</v>
      </c>
      <c r="AP70" s="15">
        <v>49773.493762992126</v>
      </c>
      <c r="AQ70" s="15">
        <v>20923.943751732455</v>
      </c>
      <c r="AR70" s="15">
        <f t="shared" si="25"/>
        <v>28849.550011259671</v>
      </c>
      <c r="AS70" s="15">
        <v>125250.25536865824</v>
      </c>
      <c r="AT70" s="15">
        <v>58539.155229267926</v>
      </c>
      <c r="AU70" s="15">
        <f t="shared" si="29"/>
        <v>66711.100139390313</v>
      </c>
      <c r="AV70" s="15">
        <v>-62262</v>
      </c>
      <c r="AW70" s="15">
        <v>-31323.000000000007</v>
      </c>
      <c r="AX70" s="15">
        <v>1517796.730156929</v>
      </c>
      <c r="AY70" s="15">
        <v>1316765</v>
      </c>
      <c r="AZ70" s="15">
        <v>127767.32751327667</v>
      </c>
      <c r="BA70" s="15">
        <v>22679.617460170051</v>
      </c>
      <c r="BB70" s="15">
        <f t="shared" si="26"/>
        <v>105087.71005310662</v>
      </c>
      <c r="BC70" s="15">
        <v>80095.696423963309</v>
      </c>
      <c r="BD70" s="15">
        <v>-6831.2937803111136</v>
      </c>
      <c r="BE70" s="15">
        <f t="shared" si="30"/>
        <v>104772.99999999997</v>
      </c>
      <c r="BF70" s="15">
        <v>1120570</v>
      </c>
      <c r="BG70" s="15">
        <v>196195.00000000017</v>
      </c>
      <c r="BH70" s="15">
        <v>72481.334919670582</v>
      </c>
      <c r="BI70" s="15">
        <v>12881.665080329418</v>
      </c>
      <c r="BJ70" s="15">
        <v>17111</v>
      </c>
      <c r="BK70" s="15">
        <v>15761</v>
      </c>
      <c r="BL70" s="15">
        <v>3042.9603026007753</v>
      </c>
      <c r="BM70" s="15">
        <v>540.8067541013661</v>
      </c>
      <c r="BN70" s="15">
        <v>719.23294329785779</v>
      </c>
      <c r="BO70" s="15">
        <v>1936109.3142246837</v>
      </c>
      <c r="BP70" s="15">
        <v>176339.34600407057</v>
      </c>
      <c r="BQ70" s="15">
        <v>79308.744050550318</v>
      </c>
      <c r="BR70" s="15">
        <v>119944.92185028736</v>
      </c>
      <c r="BS70" s="15">
        <v>22638.000000000004</v>
      </c>
      <c r="BT70" s="15">
        <v>97581</v>
      </c>
      <c r="BU70" s="15">
        <v>9417</v>
      </c>
      <c r="BV70" s="15">
        <v>6556</v>
      </c>
      <c r="BW70" s="15">
        <v>4585</v>
      </c>
      <c r="BX70" s="15">
        <v>3359.9999999999873</v>
      </c>
      <c r="BY70" s="15">
        <v>13597</v>
      </c>
      <c r="BZ70" s="15">
        <v>31189.999999999993</v>
      </c>
      <c r="CA70" s="15">
        <v>10776</v>
      </c>
      <c r="CB70" s="15">
        <v>4781.0000000000009</v>
      </c>
      <c r="CC70" s="15">
        <v>25543</v>
      </c>
      <c r="CD70" s="15">
        <v>18619</v>
      </c>
      <c r="CE70" s="15">
        <v>19.839999999999996</v>
      </c>
      <c r="CF70" s="15">
        <v>10251.999999999998</v>
      </c>
      <c r="CG70" s="15">
        <v>54414</v>
      </c>
      <c r="CH70" s="15">
        <v>370770</v>
      </c>
      <c r="CI70" s="15">
        <v>108572</v>
      </c>
      <c r="CJ70" s="15">
        <v>2935.5175709829241</v>
      </c>
      <c r="CK70" s="15">
        <v>29627.999999999993</v>
      </c>
      <c r="CL70" s="15">
        <v>614472</v>
      </c>
      <c r="CM70" s="15">
        <v>469971</v>
      </c>
      <c r="CN70" s="15">
        <v>28596.999999999985</v>
      </c>
      <c r="CO70" s="15">
        <v>-2290.2329432978449</v>
      </c>
      <c r="CP70" s="15">
        <v>36046.657097081064</v>
      </c>
      <c r="CQ70" s="15">
        <v>71529</v>
      </c>
      <c r="CR70" s="15">
        <v>71631.578947368427</v>
      </c>
      <c r="CS70" s="15">
        <v>65200</v>
      </c>
      <c r="CT70" s="15">
        <v>6431.5789473684235</v>
      </c>
      <c r="CU70" s="15">
        <v>46063</v>
      </c>
      <c r="CV70" s="15">
        <v>34033.385781764096</v>
      </c>
      <c r="CW70" s="15">
        <v>189199</v>
      </c>
      <c r="CX70" s="15">
        <v>40450</v>
      </c>
      <c r="CY70" s="15">
        <v>1132</v>
      </c>
      <c r="CZ70" s="15">
        <v>7189</v>
      </c>
      <c r="DA70" s="19">
        <v>0</v>
      </c>
      <c r="DB70" s="19">
        <v>0</v>
      </c>
      <c r="DC70" s="19">
        <v>0.17614309236464387</v>
      </c>
      <c r="DD70" s="19">
        <v>0.16070911155807233</v>
      </c>
      <c r="DE70" s="19">
        <v>0.27659322033467199</v>
      </c>
      <c r="DF70" s="19">
        <v>0.25270147729582776</v>
      </c>
      <c r="DG70" s="19">
        <v>0.13385309844678406</v>
      </c>
      <c r="DH70" s="15">
        <v>26553.232943297848</v>
      </c>
      <c r="DI70" s="15">
        <v>1905252.0812813856</v>
      </c>
      <c r="DJ70" s="15">
        <v>1534482.0812813856</v>
      </c>
      <c r="DK70" s="15">
        <v>2022482.0000000002</v>
      </c>
      <c r="DL70" s="18">
        <v>0.10549197319768364</v>
      </c>
      <c r="DM70" s="15">
        <v>1317571.0106087574</v>
      </c>
      <c r="DN70" s="15">
        <v>1127465.538255516</v>
      </c>
      <c r="DO70" s="15">
        <v>88230.543960849289</v>
      </c>
      <c r="DP70" s="15">
        <v>61344.845014888255</v>
      </c>
      <c r="DQ70" s="15">
        <v>31733.611555056454</v>
      </c>
      <c r="DR70" s="15">
        <v>8796.4718224475109</v>
      </c>
      <c r="DS70" s="15">
        <v>1365290.0106087574</v>
      </c>
      <c r="DT70" s="18">
        <f t="shared" si="31"/>
        <v>9.6289775868718813E-2</v>
      </c>
      <c r="DU70" s="18">
        <f t="shared" si="32"/>
        <v>0.25101627860805015</v>
      </c>
      <c r="DV70" s="18">
        <f t="shared" si="33"/>
        <v>3.3742957274471325E-2</v>
      </c>
      <c r="DW70" s="18">
        <f t="shared" si="34"/>
        <v>-6.8064362413413876E-2</v>
      </c>
      <c r="DX70" s="18">
        <f t="shared" si="35"/>
        <v>0.10444935766518894</v>
      </c>
      <c r="DY70" s="18">
        <f t="shared" si="36"/>
        <v>0.37174752220543761</v>
      </c>
      <c r="DZ70" s="18">
        <f t="shared" si="37"/>
        <v>-0.11899363043224567</v>
      </c>
      <c r="EA70" s="18">
        <f t="shared" si="38"/>
        <v>0.1784471715424672</v>
      </c>
      <c r="EB70" s="18">
        <f t="shared" si="39"/>
        <v>0.15136492968132531</v>
      </c>
      <c r="EC70" s="18">
        <f t="shared" si="40"/>
        <v>0.68716375146922737</v>
      </c>
      <c r="ED70" s="18">
        <f t="shared" si="41"/>
        <v>6.667634398637616E-2</v>
      </c>
      <c r="EE70" s="18">
        <f t="shared" si="42"/>
        <v>4.1364730707718539E-2</v>
      </c>
      <c r="EF70" s="18">
        <f t="shared" si="43"/>
        <v>1.3439218103692379E-2</v>
      </c>
      <c r="EG70" s="18">
        <f t="shared" si="44"/>
        <v>7.4060416857888195E-2</v>
      </c>
      <c r="EH70" s="18">
        <f t="shared" si="45"/>
        <v>6.9245641418562667E-2</v>
      </c>
      <c r="EI70" s="18">
        <f t="shared" si="46"/>
        <v>2.4610104694623793E-2</v>
      </c>
      <c r="EJ70" s="18">
        <f t="shared" si="47"/>
        <v>6.1928983975460955E-2</v>
      </c>
      <c r="EK70" s="18">
        <f t="shared" si="48"/>
        <v>-3.0784946417322871E-2</v>
      </c>
      <c r="EL70" s="18">
        <f t="shared" si="49"/>
        <v>-1.5487406068385282E-2</v>
      </c>
      <c r="EM70" s="6">
        <v>3.0681784096703564</v>
      </c>
      <c r="EN70" s="6">
        <v>3.2328645915626484</v>
      </c>
      <c r="EO70" s="6">
        <v>3.5322076569146645</v>
      </c>
      <c r="EP70" s="6">
        <v>3.1616990953030113</v>
      </c>
      <c r="EQ70" s="14">
        <v>149142.4302</v>
      </c>
      <c r="ER70" s="14">
        <v>24502.050999999999</v>
      </c>
      <c r="ES70" s="15">
        <v>222629</v>
      </c>
      <c r="ET70" s="15">
        <v>100848</v>
      </c>
      <c r="EU70" s="15">
        <v>2.65</v>
      </c>
      <c r="EV70" s="6">
        <v>17700</v>
      </c>
      <c r="EW70" s="6">
        <v>0.10100000000000001</v>
      </c>
      <c r="EX70" s="16">
        <v>8.5758640475226147E-2</v>
      </c>
      <c r="EY70" s="16">
        <f t="shared" si="23"/>
        <v>1.5241359524773859E-2</v>
      </c>
      <c r="EZ70" s="6">
        <v>0.02</v>
      </c>
      <c r="FA70" s="20">
        <v>2200</v>
      </c>
      <c r="FB70" s="20">
        <v>2200</v>
      </c>
      <c r="FC70" s="20">
        <v>3200</v>
      </c>
      <c r="GF70" s="17">
        <v>189.4</v>
      </c>
      <c r="GG70" s="17">
        <v>284.10000000000002</v>
      </c>
      <c r="GJ70" s="6">
        <v>0.23170593040368018</v>
      </c>
      <c r="GK70" s="6">
        <v>0.42031993733290196</v>
      </c>
    </row>
    <row r="71" spans="1:195" ht="15">
      <c r="A71" s="12">
        <v>1979</v>
      </c>
      <c r="B71" s="13">
        <v>0.95112671899450696</v>
      </c>
      <c r="C71" s="15">
        <f t="shared" si="27"/>
        <v>6305029.2665492417</v>
      </c>
      <c r="D71" s="15">
        <v>555470.82785817224</v>
      </c>
      <c r="E71" s="15">
        <v>114259.8954083533</v>
      </c>
      <c r="F71" s="15">
        <v>1323096.0423834396</v>
      </c>
      <c r="G71" s="15">
        <v>33968.326614047728</v>
      </c>
      <c r="H71" s="15">
        <v>67962.499999999985</v>
      </c>
      <c r="I71" s="15">
        <v>1139943.0000000002</v>
      </c>
      <c r="J71" s="15">
        <v>893029.72966805438</v>
      </c>
      <c r="K71" s="15">
        <v>246913.27033194579</v>
      </c>
      <c r="L71" s="15">
        <v>29722.475503508551</v>
      </c>
      <c r="M71" s="15">
        <v>669675.5</v>
      </c>
      <c r="N71" s="15">
        <v>-767682.5</v>
      </c>
      <c r="O71" s="15">
        <v>-220035.5</v>
      </c>
      <c r="P71" s="15">
        <v>2407074</v>
      </c>
      <c r="Q71" s="15">
        <v>0</v>
      </c>
      <c r="R71" s="15">
        <v>954316.5</v>
      </c>
      <c r="S71" s="15">
        <v>0.25351576227772066</v>
      </c>
      <c r="T71" s="15">
        <v>-426272</v>
      </c>
      <c r="U71" s="15">
        <v>203494.69878172048</v>
      </c>
      <c r="V71" s="15">
        <v>5735.8710379639033</v>
      </c>
      <c r="W71" s="15">
        <v>2619.9673798767494</v>
      </c>
      <c r="X71" s="15">
        <v>3137.1781979905513</v>
      </c>
      <c r="Y71" s="15">
        <v>834.96157179342424</v>
      </c>
      <c r="Z71" s="15">
        <v>834.96157179342424</v>
      </c>
      <c r="AA71" s="15">
        <v>2268969.4216771577</v>
      </c>
      <c r="AB71" s="15">
        <v>80737</v>
      </c>
      <c r="AC71" s="15">
        <v>49357.811331921315</v>
      </c>
      <c r="AD71" s="15">
        <v>26069.866180400088</v>
      </c>
      <c r="AE71" s="15">
        <v>-1968.1769607252559</v>
      </c>
      <c r="AF71" s="15">
        <v>38019</v>
      </c>
      <c r="AG71" s="15">
        <v>26384.000000000007</v>
      </c>
      <c r="AH71" s="15">
        <v>573015.92222875415</v>
      </c>
      <c r="AI71" s="15">
        <v>120609</v>
      </c>
      <c r="AJ71" s="15">
        <v>92439.153650563036</v>
      </c>
      <c r="AK71" s="15">
        <v>28169.846349436964</v>
      </c>
      <c r="AL71" s="15">
        <f t="shared" si="28"/>
        <v>152561.68381420322</v>
      </c>
      <c r="AM71" s="15">
        <v>145151.85999916136</v>
      </c>
      <c r="AN71" s="15">
        <v>7409.823815041852</v>
      </c>
      <c r="AO71" s="15">
        <v>189985.16039887245</v>
      </c>
      <c r="AP71" s="15">
        <v>53659.121532340105</v>
      </c>
      <c r="AQ71" s="15">
        <v>22516.029281000814</v>
      </c>
      <c r="AR71" s="15">
        <f t="shared" si="25"/>
        <v>31143.092251339291</v>
      </c>
      <c r="AS71" s="15">
        <v>140879.26726366347</v>
      </c>
      <c r="AT71" s="15">
        <v>63220.619779793611</v>
      </c>
      <c r="AU71" s="15">
        <f t="shared" si="29"/>
        <v>77658.647483869863</v>
      </c>
      <c r="AV71" s="15">
        <v>-73271</v>
      </c>
      <c r="AW71" s="15">
        <v>-35508.999999999993</v>
      </c>
      <c r="AX71" s="15">
        <v>1695953.4994484037</v>
      </c>
      <c r="AY71" s="15">
        <v>1477231</v>
      </c>
      <c r="AZ71" s="15">
        <v>138356.18866807871</v>
      </c>
      <c r="BA71" s="15">
        <v>24095.811645102771</v>
      </c>
      <c r="BB71" s="15">
        <f t="shared" si="26"/>
        <v>114260.37702297594</v>
      </c>
      <c r="BC71" s="15">
        <v>86929.133819599898</v>
      </c>
      <c r="BD71" s="15">
        <v>-6562.8230392747464</v>
      </c>
      <c r="BE71" s="15">
        <f t="shared" si="30"/>
        <v>112998.99999999999</v>
      </c>
      <c r="BF71" s="15">
        <v>1253314</v>
      </c>
      <c r="BG71" s="15">
        <v>223916.99999999991</v>
      </c>
      <c r="BH71" s="15">
        <v>85511.814933079688</v>
      </c>
      <c r="BI71" s="15">
        <v>14700.185066920305</v>
      </c>
      <c r="BJ71" s="15">
        <v>20977</v>
      </c>
      <c r="BK71" s="15">
        <v>16912</v>
      </c>
      <c r="BL71" s="15">
        <v>3507.6227334287319</v>
      </c>
      <c r="BM71" s="15">
        <v>602.98922864274903</v>
      </c>
      <c r="BN71" s="15">
        <v>861.38803792851945</v>
      </c>
      <c r="BO71" s="15">
        <v>2132433.4968331871</v>
      </c>
      <c r="BP71" s="15">
        <v>205525.97194381934</v>
      </c>
      <c r="BQ71" s="15">
        <v>91070.826381704275</v>
      </c>
      <c r="BR71" s="15">
        <v>135887.87348155357</v>
      </c>
      <c r="BS71" s="15">
        <v>24173</v>
      </c>
      <c r="BT71" s="15">
        <v>109392.99999999999</v>
      </c>
      <c r="BU71" s="15">
        <v>9692</v>
      </c>
      <c r="BV71" s="15">
        <v>7080.9999999999991</v>
      </c>
      <c r="BW71" s="15">
        <v>6332</v>
      </c>
      <c r="BX71" s="15">
        <v>3827.0000000000082</v>
      </c>
      <c r="BY71" s="15">
        <v>14153</v>
      </c>
      <c r="BZ71" s="15">
        <v>34333.000000000007</v>
      </c>
      <c r="CA71" s="15">
        <v>11078</v>
      </c>
      <c r="CB71" s="15">
        <v>4946</v>
      </c>
      <c r="CC71" s="15">
        <v>29936</v>
      </c>
      <c r="CD71" s="15">
        <v>21067</v>
      </c>
      <c r="CE71" s="15">
        <v>19.719999999999995</v>
      </c>
      <c r="CF71" s="15">
        <v>11835</v>
      </c>
      <c r="CG71" s="15">
        <v>62838</v>
      </c>
      <c r="CH71" s="15">
        <v>404705</v>
      </c>
      <c r="CI71" s="15">
        <v>119007</v>
      </c>
      <c r="CJ71" s="15">
        <v>3511.5783228421642</v>
      </c>
      <c r="CK71" s="15">
        <v>32302.000000000015</v>
      </c>
      <c r="CL71" s="15">
        <v>687342</v>
      </c>
      <c r="CM71" s="15">
        <v>516029</v>
      </c>
      <c r="CN71" s="15">
        <v>43723.00000000008</v>
      </c>
      <c r="CO71" s="15">
        <v>2149.6119620714894</v>
      </c>
      <c r="CP71" s="15">
        <v>43315.486500194267</v>
      </c>
      <c r="CQ71" s="15">
        <v>82587</v>
      </c>
      <c r="CR71" s="15">
        <v>84291.359981747868</v>
      </c>
      <c r="CS71" s="15">
        <v>73300</v>
      </c>
      <c r="CT71" s="15">
        <v>10991.359981747884</v>
      </c>
      <c r="CU71" s="15">
        <v>52627</v>
      </c>
      <c r="CV71" s="15">
        <v>25502.232462090462</v>
      </c>
      <c r="CW71" s="15">
        <v>224881</v>
      </c>
      <c r="CX71" s="15">
        <v>44032</v>
      </c>
      <c r="CY71" s="15">
        <v>1069</v>
      </c>
      <c r="CZ71" s="15">
        <v>7541</v>
      </c>
      <c r="DA71" s="19">
        <v>0</v>
      </c>
      <c r="DB71" s="19">
        <v>0</v>
      </c>
      <c r="DC71" s="19">
        <v>0.17614309236464387</v>
      </c>
      <c r="DD71" s="19">
        <v>0.16070911155807233</v>
      </c>
      <c r="DE71" s="19">
        <v>0.27659322033467199</v>
      </c>
      <c r="DF71" s="19">
        <v>0.25270147729582776</v>
      </c>
      <c r="DG71" s="19">
        <v>0.13385309844678406</v>
      </c>
      <c r="DH71" s="15">
        <v>31514.388037928562</v>
      </c>
      <c r="DI71" s="15">
        <v>2090886.1087952587</v>
      </c>
      <c r="DJ71" s="15">
        <v>1686181.1087952587</v>
      </c>
      <c r="DK71" s="15">
        <v>2240178.9999999995</v>
      </c>
      <c r="DL71" s="18">
        <v>9.3237795926492797E-2</v>
      </c>
      <c r="DM71" s="15">
        <v>1476334.0561135008</v>
      </c>
      <c r="DN71" s="15">
        <v>1270939.3897124515</v>
      </c>
      <c r="DO71" s="15">
        <v>87490.894837908854</v>
      </c>
      <c r="DP71" s="15">
        <v>74116.879623753513</v>
      </c>
      <c r="DQ71" s="15">
        <v>35137.665283056682</v>
      </c>
      <c r="DR71" s="15">
        <v>8649.2266563300054</v>
      </c>
      <c r="DS71" s="15">
        <v>1548415.0561135006</v>
      </c>
      <c r="DT71" s="18">
        <f t="shared" si="31"/>
        <v>9.2813733072798027E-2</v>
      </c>
      <c r="DU71" s="18">
        <f t="shared" si="32"/>
        <v>0.24413633931445589</v>
      </c>
      <c r="DV71" s="18">
        <f t="shared" si="33"/>
        <v>3.2274980841301253E-2</v>
      </c>
      <c r="DW71" s="18">
        <f t="shared" si="34"/>
        <v>-6.7608250807263848E-2</v>
      </c>
      <c r="DX71" s="18">
        <f t="shared" si="35"/>
        <v>0.10621290904277041</v>
      </c>
      <c r="DY71" s="18">
        <f t="shared" si="36"/>
        <v>0.38177047214840248</v>
      </c>
      <c r="DZ71" s="18">
        <f t="shared" si="37"/>
        <v>-0.12175716678634144</v>
      </c>
      <c r="EA71" s="18">
        <f t="shared" si="38"/>
        <v>0.18079900216290254</v>
      </c>
      <c r="EB71" s="18">
        <f t="shared" si="39"/>
        <v>0.15135798101097472</v>
      </c>
      <c r="EC71" s="18">
        <f t="shared" si="40"/>
        <v>0.69490682127562764</v>
      </c>
      <c r="ED71" s="18">
        <f t="shared" si="41"/>
        <v>6.50843769668695E-2</v>
      </c>
      <c r="EE71" s="18">
        <f t="shared" si="42"/>
        <v>4.1264181858040386E-2</v>
      </c>
      <c r="EF71" s="18">
        <f t="shared" si="43"/>
        <v>1.2574819400341209E-2</v>
      </c>
      <c r="EG71" s="18">
        <f t="shared" si="44"/>
        <v>6.8102452444292735E-2</v>
      </c>
      <c r="EH71" s="18">
        <f t="shared" si="45"/>
        <v>7.1956186859047713E-2</v>
      </c>
      <c r="EI71" s="18">
        <f t="shared" si="46"/>
        <v>2.3953050864390799E-2</v>
      </c>
      <c r="EJ71" s="18">
        <f t="shared" si="47"/>
        <v>6.2887504643005535E-2</v>
      </c>
      <c r="EK71" s="18">
        <f t="shared" si="48"/>
        <v>-3.2707654165135915E-2</v>
      </c>
      <c r="EL71" s="18">
        <f t="shared" si="49"/>
        <v>-1.5850965480883446E-2</v>
      </c>
      <c r="EM71" s="6">
        <v>2.8332040771105698</v>
      </c>
      <c r="EN71" s="6">
        <v>2.9879377318262801</v>
      </c>
      <c r="EO71" s="6">
        <v>3.2234482463452006</v>
      </c>
      <c r="EP71" s="6">
        <v>2.9037646188430126</v>
      </c>
      <c r="EQ71" s="14">
        <v>152105.4296</v>
      </c>
      <c r="ER71" s="14">
        <v>25133.743999999999</v>
      </c>
      <c r="ES71" s="15">
        <v>225106</v>
      </c>
      <c r="ET71" s="15">
        <v>103298</v>
      </c>
      <c r="EU71" s="15">
        <v>2.9</v>
      </c>
      <c r="EV71" s="6">
        <v>22900</v>
      </c>
      <c r="EW71" s="6">
        <v>0.1016</v>
      </c>
      <c r="EX71" s="16">
        <v>8.6696208011025608E-2</v>
      </c>
      <c r="EY71" s="16">
        <f t="shared" si="23"/>
        <v>1.4903791988974388E-2</v>
      </c>
      <c r="EZ71" s="6">
        <v>2.1000000000000001E-2</v>
      </c>
      <c r="FA71" s="20">
        <v>2300</v>
      </c>
      <c r="FB71" s="20">
        <v>2300</v>
      </c>
      <c r="FC71" s="20">
        <v>3400</v>
      </c>
      <c r="GF71" s="17">
        <v>208.2</v>
      </c>
      <c r="GG71" s="17">
        <v>312.2</v>
      </c>
      <c r="GJ71" s="6">
        <v>0.25421654422214834</v>
      </c>
      <c r="GK71" s="6">
        <v>0.42954895466595089</v>
      </c>
    </row>
    <row r="72" spans="1:195" ht="15">
      <c r="A72" s="12">
        <v>1980</v>
      </c>
      <c r="B72" s="13">
        <v>0.94255457967377665</v>
      </c>
      <c r="C72" s="15">
        <f t="shared" si="27"/>
        <v>7287446.5470877448</v>
      </c>
      <c r="D72" s="15">
        <v>714082.9140633014</v>
      </c>
      <c r="E72" s="15">
        <v>128049.76518866951</v>
      </c>
      <c r="F72" s="15">
        <v>1456203.0712168878</v>
      </c>
      <c r="G72" s="15">
        <v>61172.975717126661</v>
      </c>
      <c r="H72" s="15">
        <v>75367.99999999968</v>
      </c>
      <c r="I72" s="15">
        <v>1279659.5000000002</v>
      </c>
      <c r="J72" s="15">
        <v>1014506.7739980007</v>
      </c>
      <c r="K72" s="15">
        <v>265152.72600199957</v>
      </c>
      <c r="L72" s="15">
        <v>25671.646392529201</v>
      </c>
      <c r="M72" s="15">
        <v>786275</v>
      </c>
      <c r="N72" s="15">
        <v>-876625</v>
      </c>
      <c r="O72" s="15">
        <v>-240667.00000000003</v>
      </c>
      <c r="P72" s="15">
        <v>2773216.0000000005</v>
      </c>
      <c r="Q72" s="15">
        <v>0</v>
      </c>
      <c r="R72" s="15">
        <v>1104039.4999999998</v>
      </c>
      <c r="S72" s="15">
        <v>0.26664241420762347</v>
      </c>
      <c r="T72" s="15">
        <v>-461162</v>
      </c>
      <c r="U72" s="15">
        <v>221495.17450923019</v>
      </c>
      <c r="V72" s="15">
        <v>5758.4955802043032</v>
      </c>
      <c r="W72" s="15">
        <v>2653.5457198111121</v>
      </c>
      <c r="X72" s="15">
        <v>3400.7808903863365</v>
      </c>
      <c r="Y72" s="15">
        <v>876.30633583842916</v>
      </c>
      <c r="Z72" s="15">
        <v>876.30633583842916</v>
      </c>
      <c r="AA72" s="15">
        <v>2451192.4817071701</v>
      </c>
      <c r="AB72" s="15">
        <v>75484</v>
      </c>
      <c r="AC72" s="15">
        <v>48426.159723005927</v>
      </c>
      <c r="AD72" s="15">
        <v>28643.225898646564</v>
      </c>
      <c r="AE72" s="15">
        <v>-2209.8644639690147</v>
      </c>
      <c r="AF72" s="15">
        <v>41020.000000000007</v>
      </c>
      <c r="AG72" s="15">
        <v>27805.999999999993</v>
      </c>
      <c r="AH72" s="15">
        <v>606041.00286485336</v>
      </c>
      <c r="AI72" s="15">
        <v>138933</v>
      </c>
      <c r="AJ72" s="15">
        <v>105519.72204916611</v>
      </c>
      <c r="AK72" s="15">
        <v>33413.277950833886</v>
      </c>
      <c r="AL72" s="15">
        <f t="shared" si="28"/>
        <v>132966.13326789139</v>
      </c>
      <c r="AM72" s="15">
        <v>126540.90153239212</v>
      </c>
      <c r="AN72" s="15">
        <v>6425.2317354992801</v>
      </c>
      <c r="AO72" s="15">
        <v>234059.23448680007</v>
      </c>
      <c r="AP72" s="15">
        <v>52948.134205126044</v>
      </c>
      <c r="AQ72" s="15">
        <v>22879.075766553982</v>
      </c>
      <c r="AR72" s="15">
        <f t="shared" si="25"/>
        <v>30069.058438572061</v>
      </c>
      <c r="AS72" s="15">
        <v>149736.13947035829</v>
      </c>
      <c r="AT72" s="15">
        <v>52167.031807122148</v>
      </c>
      <c r="AU72" s="15">
        <f t="shared" si="29"/>
        <v>97569.107663236151</v>
      </c>
      <c r="AV72" s="15">
        <v>-86553.999999999985</v>
      </c>
      <c r="AW72" s="15">
        <v>-42481.000000000007</v>
      </c>
      <c r="AX72" s="15">
        <v>1845151.4788423164</v>
      </c>
      <c r="AY72" s="15">
        <v>1622246.9999999998</v>
      </c>
      <c r="AZ72" s="15">
        <v>132114.84027699407</v>
      </c>
      <c r="BA72" s="15">
        <v>22577.469800739414</v>
      </c>
      <c r="BB72" s="15">
        <f t="shared" si="26"/>
        <v>109537.37047625465</v>
      </c>
      <c r="BC72" s="15">
        <v>98379.774101353469</v>
      </c>
      <c r="BD72" s="15">
        <v>-7590.1355360309853</v>
      </c>
      <c r="BE72" s="15">
        <f t="shared" si="30"/>
        <v>127023.00000000003</v>
      </c>
      <c r="BF72" s="15">
        <v>1373422</v>
      </c>
      <c r="BG72" s="15">
        <v>248825.00000000006</v>
      </c>
      <c r="BH72" s="15">
        <v>98194.158219876437</v>
      </c>
      <c r="BI72" s="15">
        <v>12580.841780123554</v>
      </c>
      <c r="BJ72" s="15">
        <v>23170</v>
      </c>
      <c r="BK72" s="15">
        <v>17157</v>
      </c>
      <c r="BL72" s="15">
        <v>4095.9544317958957</v>
      </c>
      <c r="BM72" s="15">
        <v>524.78228419284142</v>
      </c>
      <c r="BN72" s="15">
        <v>967.26328401126239</v>
      </c>
      <c r="BO72" s="15">
        <v>2311736.0676463232</v>
      </c>
      <c r="BP72" s="15">
        <v>230750.57874268893</v>
      </c>
      <c r="BQ72" s="15">
        <v>99126.456939669428</v>
      </c>
      <c r="BR72" s="15">
        <v>158028.62162151147</v>
      </c>
      <c r="BS72" s="15">
        <v>32391.999999999996</v>
      </c>
      <c r="BT72" s="15">
        <v>126215</v>
      </c>
      <c r="BU72" s="15">
        <v>16097.000000000002</v>
      </c>
      <c r="BV72" s="15">
        <v>7941.0000000000009</v>
      </c>
      <c r="BW72" s="15">
        <v>8214</v>
      </c>
      <c r="BX72" s="15">
        <v>4379</v>
      </c>
      <c r="BY72" s="15">
        <v>14660</v>
      </c>
      <c r="BZ72" s="15">
        <v>41551</v>
      </c>
      <c r="CA72" s="15">
        <v>12516</v>
      </c>
      <c r="CB72" s="15">
        <v>6518</v>
      </c>
      <c r="CC72" s="15">
        <v>36201</v>
      </c>
      <c r="CD72" s="15">
        <v>23855</v>
      </c>
      <c r="CE72" s="15">
        <v>19.600000000000001</v>
      </c>
      <c r="CF72" s="15">
        <v>16486</v>
      </c>
      <c r="CG72" s="15">
        <v>76542</v>
      </c>
      <c r="CH72" s="15">
        <v>453650</v>
      </c>
      <c r="CI72" s="15">
        <v>129834</v>
      </c>
      <c r="CJ72" s="15">
        <v>4102.5182928301501</v>
      </c>
      <c r="CK72" s="15">
        <v>36736.000000000007</v>
      </c>
      <c r="CL72" s="15">
        <v>745811</v>
      </c>
      <c r="CM72" s="15">
        <v>586403</v>
      </c>
      <c r="CN72" s="15">
        <v>7320.0000000000018</v>
      </c>
      <c r="CO72" s="15">
        <v>-9759.2632840112892</v>
      </c>
      <c r="CP72" s="15">
        <v>50089.220405188731</v>
      </c>
      <c r="CQ72" s="15">
        <v>88940</v>
      </c>
      <c r="CR72" s="15">
        <v>98197.842026700193</v>
      </c>
      <c r="CS72" s="15">
        <v>81500</v>
      </c>
      <c r="CT72" s="15">
        <v>16697.842026700186</v>
      </c>
      <c r="CU72" s="15">
        <v>61054</v>
      </c>
      <c r="CV72" s="15">
        <v>20438.094436966167</v>
      </c>
      <c r="CW72" s="15">
        <v>250621</v>
      </c>
      <c r="CX72" s="15">
        <v>48891</v>
      </c>
      <c r="CY72" s="15">
        <v>1983</v>
      </c>
      <c r="CZ72" s="15">
        <v>8778</v>
      </c>
      <c r="DA72" s="19">
        <v>0</v>
      </c>
      <c r="DB72" s="19">
        <v>0</v>
      </c>
      <c r="DC72" s="19">
        <v>0.17614309236464387</v>
      </c>
      <c r="DD72" s="19">
        <v>0.16070911155807233</v>
      </c>
      <c r="DE72" s="19">
        <v>0.27659322033467199</v>
      </c>
      <c r="DF72" s="19">
        <v>0.25270147729582776</v>
      </c>
      <c r="DG72" s="19">
        <v>0.13385309844678406</v>
      </c>
      <c r="DH72" s="15">
        <v>33635.263284011286</v>
      </c>
      <c r="DI72" s="15">
        <v>2294680.804362312</v>
      </c>
      <c r="DJ72" s="15">
        <v>1841030.8043623117</v>
      </c>
      <c r="DK72" s="15">
        <v>2418559</v>
      </c>
      <c r="DL72" s="18">
        <v>0.10476974024202183</v>
      </c>
      <c r="DM72" s="15">
        <v>1631791.7179166269</v>
      </c>
      <c r="DN72" s="15">
        <v>1398539.7429289585</v>
      </c>
      <c r="DO72" s="15">
        <v>81617.727843438654</v>
      </c>
      <c r="DP72" s="15">
        <v>102420.36565969994</v>
      </c>
      <c r="DQ72" s="15">
        <v>40513.938651629927</v>
      </c>
      <c r="DR72" s="15">
        <v>8699.9428329000366</v>
      </c>
      <c r="DS72" s="15">
        <v>1706017.7179166272</v>
      </c>
      <c r="DT72" s="18">
        <f t="shared" si="31"/>
        <v>0.1015108043230116</v>
      </c>
      <c r="DU72" s="18">
        <f t="shared" si="32"/>
        <v>0.23613124309095046</v>
      </c>
      <c r="DV72" s="18">
        <f t="shared" si="33"/>
        <v>3.0394071926022632E-2</v>
      </c>
      <c r="DW72" s="18">
        <f t="shared" si="34"/>
        <v>-6.3281699154869614E-2</v>
      </c>
      <c r="DX72" s="18">
        <f t="shared" si="35"/>
        <v>0.10789444490871994</v>
      </c>
      <c r="DY72" s="18">
        <f t="shared" si="36"/>
        <v>0.38054701081934528</v>
      </c>
      <c r="DZ72" s="18">
        <f t="shared" si="37"/>
        <v>-0.12029247752771818</v>
      </c>
      <c r="EA72" s="18">
        <f t="shared" si="38"/>
        <v>0.17559778884572208</v>
      </c>
      <c r="EB72" s="18">
        <f t="shared" si="39"/>
        <v>0.15149881276881585</v>
      </c>
      <c r="EC72" s="18">
        <f t="shared" si="40"/>
        <v>0.70836317748874977</v>
      </c>
      <c r="ED72" s="18">
        <f t="shared" si="41"/>
        <v>5.7688679992646125E-2</v>
      </c>
      <c r="EE72" s="18">
        <f t="shared" si="42"/>
        <v>4.36291701170681E-2</v>
      </c>
      <c r="EF72" s="18">
        <f t="shared" si="43"/>
        <v>1.3815366071629382E-2</v>
      </c>
      <c r="EG72" s="18">
        <f t="shared" si="44"/>
        <v>5.4977419723021594E-2</v>
      </c>
      <c r="EH72" s="18">
        <f t="shared" si="45"/>
        <v>8.3283373603716182E-2</v>
      </c>
      <c r="EI72" s="18">
        <f t="shared" si="46"/>
        <v>2.189243024674033E-2</v>
      </c>
      <c r="EJ72" s="18">
        <f t="shared" si="47"/>
        <v>6.1911303164553066E-2</v>
      </c>
      <c r="EK72" s="18">
        <f t="shared" si="48"/>
        <v>-3.5787425487656073E-2</v>
      </c>
      <c r="EL72" s="18">
        <f t="shared" si="49"/>
        <v>-1.7564591147042518E-2</v>
      </c>
      <c r="EM72" s="6">
        <v>2.5978412698412701</v>
      </c>
      <c r="EN72" s="6">
        <v>2.7429551974689654</v>
      </c>
      <c r="EO72" s="6">
        <v>2.901357036836278</v>
      </c>
      <c r="EP72" s="6">
        <v>2.6214293053842992</v>
      </c>
      <c r="EQ72" s="14">
        <v>155268</v>
      </c>
      <c r="ER72" s="14">
        <v>25707.455999999998</v>
      </c>
      <c r="ES72" s="15">
        <v>227726</v>
      </c>
      <c r="ET72" s="15">
        <v>106026</v>
      </c>
      <c r="EU72" s="15">
        <v>3.1</v>
      </c>
      <c r="EV72" s="6">
        <v>25900</v>
      </c>
      <c r="EW72" s="6">
        <v>0.1016</v>
      </c>
      <c r="EX72" s="16">
        <v>9.0061173325564847E-2</v>
      </c>
      <c r="EY72" s="16">
        <f t="shared" si="23"/>
        <v>1.1538826674435149E-2</v>
      </c>
      <c r="EZ72" s="6">
        <v>2.1000000000000001E-2</v>
      </c>
      <c r="FA72" s="20">
        <v>2300</v>
      </c>
      <c r="FB72" s="20">
        <v>2300</v>
      </c>
      <c r="FC72" s="20">
        <v>3400</v>
      </c>
      <c r="GF72" s="17">
        <v>238</v>
      </c>
      <c r="GG72" s="17">
        <v>357</v>
      </c>
      <c r="GJ72" s="6">
        <v>0.33324148523340624</v>
      </c>
      <c r="GK72" s="6">
        <v>0.42788222141340571</v>
      </c>
    </row>
    <row r="73" spans="1:195" ht="15">
      <c r="A73" s="12">
        <v>1981</v>
      </c>
      <c r="B73" s="13">
        <v>0.94049022968758067</v>
      </c>
      <c r="C73" s="15">
        <f t="shared" si="27"/>
        <v>8154724.2079478679</v>
      </c>
      <c r="D73" s="15">
        <v>769551.25341754162</v>
      </c>
      <c r="E73" s="15">
        <v>147615.18679142641</v>
      </c>
      <c r="F73" s="15">
        <v>1566928.8444517357</v>
      </c>
      <c r="G73" s="15">
        <v>117149.23125508825</v>
      </c>
      <c r="H73" s="15">
        <v>82848.499999999607</v>
      </c>
      <c r="I73" s="15">
        <v>1375647.0000000002</v>
      </c>
      <c r="J73" s="15">
        <v>1085272.7236462224</v>
      </c>
      <c r="K73" s="15">
        <v>290374.27635377739</v>
      </c>
      <c r="L73" s="15">
        <v>24190.521519494429</v>
      </c>
      <c r="M73" s="15">
        <v>890847</v>
      </c>
      <c r="N73" s="15">
        <v>-962393.49999999988</v>
      </c>
      <c r="O73" s="15">
        <v>-255167.50000000003</v>
      </c>
      <c r="P73" s="15">
        <v>3118060.5</v>
      </c>
      <c r="Q73" s="15">
        <v>17340</v>
      </c>
      <c r="R73" s="15">
        <v>1241949</v>
      </c>
      <c r="S73" s="15">
        <v>0.25989883471648045</v>
      </c>
      <c r="T73" s="15">
        <v>-487267</v>
      </c>
      <c r="U73" s="15">
        <v>252257.67051258177</v>
      </c>
      <c r="V73" s="15">
        <v>5962.2544590079824</v>
      </c>
      <c r="W73" s="15">
        <v>2825.0732123102894</v>
      </c>
      <c r="X73" s="15">
        <v>3843.7668774469998</v>
      </c>
      <c r="Y73" s="15">
        <v>963.56237493078811</v>
      </c>
      <c r="Z73" s="15">
        <v>963.56237493078811</v>
      </c>
      <c r="AA73" s="15">
        <v>2761650.0182524179</v>
      </c>
      <c r="AB73" s="15">
        <v>70315</v>
      </c>
      <c r="AC73" s="15">
        <v>52807.280887015178</v>
      </c>
      <c r="AD73" s="15">
        <v>37074.83089502107</v>
      </c>
      <c r="AE73" s="15">
        <v>-2764.8217700610135</v>
      </c>
      <c r="AF73" s="15">
        <v>45621.999999999993</v>
      </c>
      <c r="AG73" s="15">
        <v>31458</v>
      </c>
      <c r="AH73" s="15">
        <v>724021.30826439266</v>
      </c>
      <c r="AI73" s="15">
        <v>161005</v>
      </c>
      <c r="AJ73" s="15">
        <v>121357.60770650792</v>
      </c>
      <c r="AK73" s="15">
        <v>39647.392293492092</v>
      </c>
      <c r="AL73" s="15">
        <f t="shared" si="28"/>
        <v>147181.1571964735</v>
      </c>
      <c r="AM73" s="15">
        <v>141056.68784503735</v>
      </c>
      <c r="AN73" s="15">
        <v>6124.4693514361707</v>
      </c>
      <c r="AO73" s="15">
        <v>288009.23434316664</v>
      </c>
      <c r="AP73" s="15">
        <v>57981.083118976043</v>
      </c>
      <c r="AQ73" s="15">
        <v>26594.025410393962</v>
      </c>
      <c r="AR73" s="15">
        <f t="shared" si="25"/>
        <v>31387.057708582081</v>
      </c>
      <c r="AS73" s="15">
        <v>183871.82448081634</v>
      </c>
      <c r="AT73" s="15">
        <v>59990.968619081548</v>
      </c>
      <c r="AU73" s="15">
        <f t="shared" si="29"/>
        <v>123880.8558617348</v>
      </c>
      <c r="AV73" s="15">
        <v>-99952.000000000015</v>
      </c>
      <c r="AW73" s="15">
        <v>-48385</v>
      </c>
      <c r="AX73" s="15">
        <v>2037628.7099880248</v>
      </c>
      <c r="AY73" s="15">
        <v>1792525</v>
      </c>
      <c r="AZ73" s="15">
        <v>137039.71911298487</v>
      </c>
      <c r="BA73" s="15">
        <v>23607.242661045486</v>
      </c>
      <c r="BB73" s="15">
        <f t="shared" si="26"/>
        <v>113432.47645193938</v>
      </c>
      <c r="BC73" s="15">
        <v>116772.16910497892</v>
      </c>
      <c r="BD73" s="15">
        <v>-8708.178229938987</v>
      </c>
      <c r="BE73" s="15">
        <f t="shared" si="30"/>
        <v>153847</v>
      </c>
      <c r="BF73" s="15">
        <v>1511373</v>
      </c>
      <c r="BG73" s="15">
        <v>281152.00000000006</v>
      </c>
      <c r="BH73" s="15">
        <v>113933.60668029994</v>
      </c>
      <c r="BI73" s="15">
        <v>15551.39331970007</v>
      </c>
      <c r="BJ73" s="15">
        <v>31832</v>
      </c>
      <c r="BK73" s="15">
        <v>17782</v>
      </c>
      <c r="BL73" s="15">
        <v>4185.7703306473531</v>
      </c>
      <c r="BM73" s="15">
        <v>571.33766457937804</v>
      </c>
      <c r="BN73" s="15">
        <v>1170.8920047732695</v>
      </c>
      <c r="BO73" s="15">
        <v>2597251.4777727732</v>
      </c>
      <c r="BP73" s="15">
        <v>262649.99910444883</v>
      </c>
      <c r="BQ73" s="15">
        <v>123832.76171126655</v>
      </c>
      <c r="BR73" s="15">
        <v>188113.22033607063</v>
      </c>
      <c r="BS73" s="15">
        <v>33971</v>
      </c>
      <c r="BT73" s="15">
        <v>147228.99999999997</v>
      </c>
      <c r="BU73" s="15">
        <v>15885</v>
      </c>
      <c r="BV73" s="15">
        <v>8595</v>
      </c>
      <c r="BW73" s="15">
        <v>10065</v>
      </c>
      <c r="BX73" s="15">
        <v>5091.0000000000009</v>
      </c>
      <c r="BY73" s="15">
        <v>15782</v>
      </c>
      <c r="BZ73" s="15">
        <v>45742</v>
      </c>
      <c r="CA73" s="15">
        <v>13144</v>
      </c>
      <c r="CB73" s="15">
        <v>6914</v>
      </c>
      <c r="CC73" s="15">
        <v>43499</v>
      </c>
      <c r="CD73" s="15">
        <v>27746</v>
      </c>
      <c r="CE73" s="15">
        <v>19.64</v>
      </c>
      <c r="CF73" s="15">
        <v>16235.999999999996</v>
      </c>
      <c r="CG73" s="15">
        <v>87481</v>
      </c>
      <c r="CH73" s="15">
        <v>507041</v>
      </c>
      <c r="CI73" s="15">
        <v>141789</v>
      </c>
      <c r="CJ73" s="15">
        <v>4640.9817475824511</v>
      </c>
      <c r="CK73" s="15">
        <v>51510.000000000022</v>
      </c>
      <c r="CL73" s="15">
        <v>851984.99999999988</v>
      </c>
      <c r="CM73" s="15">
        <v>656046</v>
      </c>
      <c r="CN73" s="15">
        <v>21373.999999999935</v>
      </c>
      <c r="CO73" s="15">
        <v>-11089.892004773241</v>
      </c>
      <c r="CP73" s="15">
        <v>51655.670773151433</v>
      </c>
      <c r="CQ73" s="15">
        <v>103610</v>
      </c>
      <c r="CR73" s="15">
        <v>110625.89110922207</v>
      </c>
      <c r="CS73" s="15">
        <v>86400</v>
      </c>
      <c r="CT73" s="15">
        <v>24225.891109222055</v>
      </c>
      <c r="CU73" s="15">
        <v>71689</v>
      </c>
      <c r="CV73" s="15">
        <v>16326.76246557999</v>
      </c>
      <c r="CW73" s="15">
        <v>291165</v>
      </c>
      <c r="CX73" s="15">
        <v>54615</v>
      </c>
      <c r="CY73" s="15">
        <v>1933</v>
      </c>
      <c r="CZ73" s="15">
        <v>9262</v>
      </c>
      <c r="DA73" s="19">
        <v>0</v>
      </c>
      <c r="DB73" s="19">
        <v>0</v>
      </c>
      <c r="DC73" s="19">
        <v>0.17614309236464387</v>
      </c>
      <c r="DD73" s="19">
        <v>0.16070911155807233</v>
      </c>
      <c r="DE73" s="19">
        <v>0.27659322033467199</v>
      </c>
      <c r="DF73" s="19">
        <v>0.25270147729582776</v>
      </c>
      <c r="DG73" s="19">
        <v>0.13385309844678406</v>
      </c>
      <c r="DH73" s="15">
        <v>43676.892004773254</v>
      </c>
      <c r="DI73" s="15">
        <v>2564809.5857680002</v>
      </c>
      <c r="DJ73" s="15">
        <v>2057768.5857679998</v>
      </c>
      <c r="DK73" s="15">
        <v>2714781</v>
      </c>
      <c r="DL73" s="18">
        <v>0.11840300989486363</v>
      </c>
      <c r="DM73" s="15">
        <v>1803844.9417724272</v>
      </c>
      <c r="DN73" s="15">
        <v>1542567.9368617691</v>
      </c>
      <c r="DO73" s="15">
        <v>65779.532045278742</v>
      </c>
      <c r="DP73" s="15">
        <v>140377.42090880178</v>
      </c>
      <c r="DQ73" s="15">
        <v>48101.130975729371</v>
      </c>
      <c r="DR73" s="15">
        <v>7018.9209808483201</v>
      </c>
      <c r="DS73" s="15">
        <v>1881124.4417724272</v>
      </c>
      <c r="DT73" s="18">
        <f t="shared" si="31"/>
        <v>9.7335207751529929E-2</v>
      </c>
      <c r="DU73" s="18">
        <f t="shared" si="32"/>
        <v>0.23477700945818294</v>
      </c>
      <c r="DV73" s="18">
        <f t="shared" si="33"/>
        <v>3.0933930330436309E-2</v>
      </c>
      <c r="DW73" s="18">
        <f t="shared" si="34"/>
        <v>-5.9752725852468831E-2</v>
      </c>
      <c r="DX73" s="18">
        <f t="shared" si="35"/>
        <v>0.10924305681996585</v>
      </c>
      <c r="DY73" s="18">
        <f t="shared" si="36"/>
        <v>0.38236247118707384</v>
      </c>
      <c r="DZ73" s="18">
        <f t="shared" si="37"/>
        <v>-0.11801668277904713</v>
      </c>
      <c r="EA73" s="18">
        <f t="shared" si="38"/>
        <v>0.16869325864622725</v>
      </c>
      <c r="EB73" s="18">
        <f t="shared" si="39"/>
        <v>0.1544244744380999</v>
      </c>
      <c r="EC73" s="18">
        <f t="shared" si="40"/>
        <v>0.7002420772201412</v>
      </c>
      <c r="ED73" s="18">
        <f t="shared" si="41"/>
        <v>5.3533968883748465E-2</v>
      </c>
      <c r="EE73" s="18">
        <f t="shared" si="42"/>
        <v>4.4702540538816178E-2</v>
      </c>
      <c r="EF73" s="18">
        <f t="shared" si="43"/>
        <v>1.4604269108076155E-2</v>
      </c>
      <c r="EG73" s="18">
        <f t="shared" si="44"/>
        <v>5.4214744097764611E-2</v>
      </c>
      <c r="EH73" s="18">
        <f t="shared" si="45"/>
        <v>8.8824924032822189E-2</v>
      </c>
      <c r="EI73" s="18">
        <f t="shared" si="46"/>
        <v>2.1357554483759849E-2</v>
      </c>
      <c r="EJ73" s="18">
        <f t="shared" si="47"/>
        <v>6.7729892201550082E-2</v>
      </c>
      <c r="EK73" s="18">
        <f t="shared" si="48"/>
        <v>-3.6817702790759188E-2</v>
      </c>
      <c r="EL73" s="18">
        <f t="shared" si="49"/>
        <v>-1.7822800439519799E-2</v>
      </c>
      <c r="EM73" s="6">
        <v>2.3737584702496983</v>
      </c>
      <c r="EN73" s="6">
        <v>2.506468051744414</v>
      </c>
      <c r="EO73" s="6">
        <v>2.6491557426859984</v>
      </c>
      <c r="EP73" s="6">
        <v>2.405917717788518</v>
      </c>
      <c r="EQ73" s="14">
        <v>158033.20000000001</v>
      </c>
      <c r="ER73" s="14">
        <v>26220.796999999999</v>
      </c>
      <c r="ES73" s="15">
        <v>230008</v>
      </c>
      <c r="ET73" s="15">
        <v>108358</v>
      </c>
      <c r="EU73" s="15">
        <v>3.35</v>
      </c>
      <c r="EV73" s="6">
        <v>29700</v>
      </c>
      <c r="EW73" s="6">
        <v>0.107</v>
      </c>
      <c r="EX73" s="16">
        <v>9.414909769310803E-2</v>
      </c>
      <c r="EY73" s="16">
        <f t="shared" si="23"/>
        <v>1.2850902306891968E-2</v>
      </c>
      <c r="EZ73" s="6">
        <v>2.5999999999999999E-2</v>
      </c>
      <c r="FA73" s="20">
        <v>2300</v>
      </c>
      <c r="FB73" s="20">
        <v>2300</v>
      </c>
      <c r="FC73" s="20">
        <v>3400</v>
      </c>
      <c r="GF73" s="17">
        <v>264.7</v>
      </c>
      <c r="GG73" s="17">
        <v>397</v>
      </c>
      <c r="GJ73" s="6">
        <v>0.32462105875137809</v>
      </c>
      <c r="GK73" s="6">
        <v>0.42299582184094892</v>
      </c>
    </row>
    <row r="74" spans="1:195" ht="15">
      <c r="A74" s="12">
        <v>1982</v>
      </c>
      <c r="B74" s="13">
        <v>0.92335685949321822</v>
      </c>
      <c r="C74" s="15">
        <f t="shared" si="27"/>
        <v>8855651.8054438271</v>
      </c>
      <c r="D74" s="15">
        <v>732459.71525558177</v>
      </c>
      <c r="E74" s="15">
        <v>188899.55849040466</v>
      </c>
      <c r="F74" s="15">
        <v>1691002.0408337275</v>
      </c>
      <c r="G74" s="15">
        <v>172045.59965395246</v>
      </c>
      <c r="H74" s="15">
        <v>91050.499999999549</v>
      </c>
      <c r="I74" s="15">
        <v>1395844.5000000002</v>
      </c>
      <c r="J74" s="15">
        <v>1095133.5197149015</v>
      </c>
      <c r="K74" s="15">
        <v>300710.98028509854</v>
      </c>
      <c r="L74" s="15">
        <v>32050.209485683368</v>
      </c>
      <c r="M74" s="15">
        <v>971067.50000000012</v>
      </c>
      <c r="N74" s="15">
        <v>-1014718</v>
      </c>
      <c r="O74" s="15">
        <v>-267089</v>
      </c>
      <c r="P74" s="15">
        <v>3370166.5000000005</v>
      </c>
      <c r="Q74" s="15">
        <v>48440</v>
      </c>
      <c r="R74" s="15">
        <v>1410370</v>
      </c>
      <c r="S74" s="15">
        <v>0.25528660836924</v>
      </c>
      <c r="T74" s="15">
        <v>-517302.5</v>
      </c>
      <c r="U74" s="15">
        <v>284276.18172447733</v>
      </c>
      <c r="V74" s="15">
        <v>8354.65</v>
      </c>
      <c r="W74" s="15">
        <v>2985.7076505429418</v>
      </c>
      <c r="X74" s="15">
        <v>4284.0489470220473</v>
      </c>
      <c r="Y74" s="15">
        <v>1027.7967012175063</v>
      </c>
      <c r="Z74" s="15">
        <v>1027.7967012175063</v>
      </c>
      <c r="AA74" s="15">
        <v>2893011.1956292568</v>
      </c>
      <c r="AB74" s="15">
        <v>51294</v>
      </c>
      <c r="AC74" s="15">
        <v>48719.344992989449</v>
      </c>
      <c r="AD74" s="15">
        <v>36881.790633480989</v>
      </c>
      <c r="AE74" s="15">
        <v>-3638.6046798167336</v>
      </c>
      <c r="AF74" s="15">
        <v>50037.999999999993</v>
      </c>
      <c r="AG74" s="15">
        <v>35262</v>
      </c>
      <c r="AH74" s="15">
        <v>765605.7265759107</v>
      </c>
      <c r="AI74" s="15">
        <v>185120.99999999997</v>
      </c>
      <c r="AJ74" s="15">
        <v>136751.88105090943</v>
      </c>
      <c r="AK74" s="15">
        <v>48369.118949090545</v>
      </c>
      <c r="AL74" s="15">
        <f t="shared" si="28"/>
        <v>128320.46223544204</v>
      </c>
      <c r="AM74" s="15">
        <v>120181.30608619229</v>
      </c>
      <c r="AN74" s="15">
        <v>8139.1561492497613</v>
      </c>
      <c r="AO74" s="15">
        <v>331132.05739353114</v>
      </c>
      <c r="AP74" s="15">
        <v>54536.017707241059</v>
      </c>
      <c r="AQ74" s="15">
        <v>22573.876140192278</v>
      </c>
      <c r="AR74" s="15">
        <f t="shared" si="25"/>
        <v>31962.14156704878</v>
      </c>
      <c r="AS74" s="15">
        <v>209313.00328603241</v>
      </c>
      <c r="AT74" s="15">
        <v>61105.449173990019</v>
      </c>
      <c r="AU74" s="15">
        <f t="shared" si="29"/>
        <v>148207.55411204239</v>
      </c>
      <c r="AV74" s="15">
        <v>-117602</v>
      </c>
      <c r="AW74" s="15">
        <v>-58458</v>
      </c>
      <c r="AX74" s="15">
        <v>2127405.4690533467</v>
      </c>
      <c r="AY74" s="15">
        <v>1892983</v>
      </c>
      <c r="AZ74" s="15">
        <v>130466.65500701059</v>
      </c>
      <c r="BA74" s="15">
        <v>16052.834978968289</v>
      </c>
      <c r="BB74" s="15">
        <f t="shared" si="26"/>
        <v>114413.8200280423</v>
      </c>
      <c r="BC74" s="15">
        <v>115334.20936651905</v>
      </c>
      <c r="BD74" s="15">
        <v>-11378.395320183266</v>
      </c>
      <c r="BE74" s="15">
        <f t="shared" si="30"/>
        <v>152216.00000000003</v>
      </c>
      <c r="BF74" s="15">
        <v>1587519</v>
      </c>
      <c r="BG74" s="15">
        <v>305463.99999999994</v>
      </c>
      <c r="BH74" s="15">
        <v>117349.60361918883</v>
      </c>
      <c r="BI74" s="15">
        <v>20870.396380811162</v>
      </c>
      <c r="BJ74" s="15">
        <v>33581</v>
      </c>
      <c r="BK74" s="15">
        <v>18703</v>
      </c>
      <c r="BL74" s="15">
        <v>4664.054323704745</v>
      </c>
      <c r="BM74" s="15">
        <v>829.492895376403</v>
      </c>
      <c r="BN74" s="15">
        <v>1335.4527809188512</v>
      </c>
      <c r="BO74" s="15">
        <v>2696954.0768190674</v>
      </c>
      <c r="BP74" s="15">
        <v>309561.00860317989</v>
      </c>
      <c r="BQ74" s="15">
        <v>143977.96401305898</v>
      </c>
      <c r="BR74" s="15">
        <v>213916.85380604948</v>
      </c>
      <c r="BS74" s="15">
        <v>43564.999999999971</v>
      </c>
      <c r="BT74" s="15">
        <v>162959</v>
      </c>
      <c r="BU74" s="15">
        <v>25227</v>
      </c>
      <c r="BV74" s="15">
        <v>8979</v>
      </c>
      <c r="BW74" s="15">
        <v>9896</v>
      </c>
      <c r="BX74" s="15">
        <v>5241.9999999999818</v>
      </c>
      <c r="BY74" s="15">
        <v>16290</v>
      </c>
      <c r="BZ74" s="15">
        <v>46629.999999999985</v>
      </c>
      <c r="CA74" s="15">
        <v>12889</v>
      </c>
      <c r="CB74" s="15">
        <v>7790</v>
      </c>
      <c r="CC74" s="15">
        <v>50927</v>
      </c>
      <c r="CD74" s="15">
        <v>30159</v>
      </c>
      <c r="CE74" s="15">
        <v>19.68</v>
      </c>
      <c r="CF74" s="15">
        <v>15010.000000000002</v>
      </c>
      <c r="CG74" s="15">
        <v>96096</v>
      </c>
      <c r="CH74" s="15">
        <v>554529</v>
      </c>
      <c r="CI74" s="15">
        <v>151203</v>
      </c>
      <c r="CJ74" s="15">
        <v>4950.8043707428269</v>
      </c>
      <c r="CK74" s="15">
        <v>63578.000000000029</v>
      </c>
      <c r="CL74" s="15">
        <v>862549.99999999988</v>
      </c>
      <c r="CM74" s="15">
        <v>713545</v>
      </c>
      <c r="CN74" s="15">
        <v>-54178.000000000044</v>
      </c>
      <c r="CO74" s="15">
        <v>-25769.452780918869</v>
      </c>
      <c r="CP74" s="15">
        <v>77848.607578049239</v>
      </c>
      <c r="CQ74" s="15">
        <v>109769</v>
      </c>
      <c r="CR74" s="15">
        <v>147144.46138409871</v>
      </c>
      <c r="CS74" s="15">
        <v>92000</v>
      </c>
      <c r="CT74" s="15">
        <v>55144.461384098722</v>
      </c>
      <c r="CU74" s="15">
        <v>82659</v>
      </c>
      <c r="CV74" s="15">
        <v>-17208.221080948333</v>
      </c>
      <c r="CW74" s="15">
        <v>295596</v>
      </c>
      <c r="CX74" s="15">
        <v>59147</v>
      </c>
      <c r="CY74" s="15">
        <v>1834</v>
      </c>
      <c r="CZ74" s="15">
        <v>10103</v>
      </c>
      <c r="DA74" s="19">
        <v>0</v>
      </c>
      <c r="DB74" s="19">
        <v>0</v>
      </c>
      <c r="DC74" s="19">
        <v>0.17614309236464387</v>
      </c>
      <c r="DD74" s="19">
        <v>0.16070911155807233</v>
      </c>
      <c r="DE74" s="19">
        <v>0.27659322033467199</v>
      </c>
      <c r="DF74" s="19">
        <v>0.25270147729582776</v>
      </c>
      <c r="DG74" s="19">
        <v>0.13385309844678406</v>
      </c>
      <c r="DH74" s="15">
        <v>46477.452780918866</v>
      </c>
      <c r="DI74" s="15">
        <v>2725382.6240381482</v>
      </c>
      <c r="DJ74" s="15">
        <v>2170853.6240381482</v>
      </c>
      <c r="DK74" s="15">
        <v>2834383.9999999995</v>
      </c>
      <c r="DL74" s="18">
        <v>0.10792404666756975</v>
      </c>
      <c r="DM74" s="15">
        <v>1907974.3295260852</v>
      </c>
      <c r="DN74" s="15">
        <v>1620925.7187369224</v>
      </c>
      <c r="DO74" s="15">
        <v>67438.509563335901</v>
      </c>
      <c r="DP74" s="15">
        <v>157266.29916313168</v>
      </c>
      <c r="DQ74" s="15">
        <v>54123.660723464571</v>
      </c>
      <c r="DR74" s="15">
        <v>8220.1413392309369</v>
      </c>
      <c r="DS74" s="15">
        <v>1994598.3295260854</v>
      </c>
      <c r="DT74" s="18">
        <f t="shared" si="31"/>
        <v>8.6330169877647925E-2</v>
      </c>
      <c r="DU74" s="18">
        <f t="shared" si="32"/>
        <v>0.2419920911593115</v>
      </c>
      <c r="DV74" s="18">
        <f t="shared" si="33"/>
        <v>3.2101101982095148E-2</v>
      </c>
      <c r="DW74" s="18">
        <f t="shared" si="34"/>
        <v>-5.8414954806827332E-2</v>
      </c>
      <c r="DX74" s="18">
        <f t="shared" si="35"/>
        <v>0.10965511306610504</v>
      </c>
      <c r="DY74" s="18">
        <f t="shared" si="36"/>
        <v>0.38056673568943405</v>
      </c>
      <c r="DZ74" s="18">
        <f t="shared" si="37"/>
        <v>-0.11458422511330259</v>
      </c>
      <c r="EA74" s="18">
        <f t="shared" si="38"/>
        <v>0.15762188155838897</v>
      </c>
      <c r="EB74" s="18">
        <f t="shared" si="39"/>
        <v>0.16473208658714733</v>
      </c>
      <c r="EC74" s="18">
        <f t="shared" si="40"/>
        <v>0.70593143558838811</v>
      </c>
      <c r="ED74" s="18">
        <f t="shared" si="41"/>
        <v>4.8653639819012606E-2</v>
      </c>
      <c r="EE74" s="18">
        <f t="shared" si="42"/>
        <v>4.8247478482417859E-2</v>
      </c>
      <c r="EF74" s="18">
        <f t="shared" si="43"/>
        <v>1.7065125596634242E-2</v>
      </c>
      <c r="EG74" s="18">
        <f t="shared" si="44"/>
        <v>4.5272786692079146E-2</v>
      </c>
      <c r="EH74" s="18">
        <f t="shared" si="45"/>
        <v>9.6142534591034223E-2</v>
      </c>
      <c r="EI74" s="18">
        <f t="shared" si="46"/>
        <v>1.9240871281816813E-2</v>
      </c>
      <c r="EJ74" s="18">
        <f t="shared" si="47"/>
        <v>7.3847793131076256E-2</v>
      </c>
      <c r="EK74" s="18">
        <f t="shared" si="48"/>
        <v>-4.1491202321209834E-2</v>
      </c>
      <c r="EL74" s="18">
        <f t="shared" si="49"/>
        <v>-2.0624587211895074E-2</v>
      </c>
      <c r="EM74" s="6">
        <v>2.2355538071509748</v>
      </c>
      <c r="EN74" s="6">
        <v>2.3602805463270577</v>
      </c>
      <c r="EO74" s="6">
        <v>2.4983907817201283</v>
      </c>
      <c r="EP74" s="6">
        <v>2.2793102678072859</v>
      </c>
      <c r="EQ74" s="14">
        <v>160665.4</v>
      </c>
      <c r="ER74" s="14">
        <v>26787.481</v>
      </c>
      <c r="ES74" s="15">
        <v>232218</v>
      </c>
      <c r="ET74" s="15">
        <v>110416</v>
      </c>
      <c r="EU74" s="15">
        <v>3.35</v>
      </c>
      <c r="EV74" s="6">
        <v>32400</v>
      </c>
      <c r="EW74" s="6">
        <v>0.108</v>
      </c>
      <c r="EX74" s="16">
        <v>9.1692643545596836E-2</v>
      </c>
      <c r="EY74" s="16">
        <f t="shared" si="23"/>
        <v>1.6307356454403163E-2</v>
      </c>
      <c r="EZ74" s="6">
        <v>2.5999999999999999E-2</v>
      </c>
      <c r="FA74" s="20">
        <v>2300</v>
      </c>
      <c r="FB74" s="20">
        <v>2300</v>
      </c>
      <c r="FC74" s="20">
        <v>3400</v>
      </c>
      <c r="GF74" s="17">
        <v>284.3</v>
      </c>
      <c r="GG74" s="17">
        <v>426.4</v>
      </c>
      <c r="GJ74" s="6">
        <v>0.37412134668548763</v>
      </c>
      <c r="GK74" s="6">
        <v>0.42170699843598713</v>
      </c>
      <c r="GL74" s="21">
        <v>92000</v>
      </c>
      <c r="GM74" s="21">
        <v>92000</v>
      </c>
    </row>
    <row r="75" spans="1:195" ht="15">
      <c r="A75" s="12">
        <v>1983</v>
      </c>
      <c r="B75" s="13">
        <v>0.91675813464987466</v>
      </c>
      <c r="C75" s="15">
        <f t="shared" si="27"/>
        <v>9587008.4885679372</v>
      </c>
      <c r="D75" s="15">
        <v>778800.77903419035</v>
      </c>
      <c r="E75" s="15">
        <v>240570.93031718588</v>
      </c>
      <c r="F75" s="15">
        <v>1886577.2558630535</v>
      </c>
      <c r="G75" s="15">
        <v>164186.52206085419</v>
      </c>
      <c r="H75" s="15">
        <v>103423.99999999968</v>
      </c>
      <c r="I75" s="15">
        <v>1393379.5</v>
      </c>
      <c r="J75" s="15">
        <v>1083845.1382132436</v>
      </c>
      <c r="K75" s="15">
        <v>309534.3617867562</v>
      </c>
      <c r="L75" s="15">
        <v>53035.393449648349</v>
      </c>
      <c r="M75" s="15">
        <v>1024325.4999999999</v>
      </c>
      <c r="N75" s="15">
        <v>-1073779.5</v>
      </c>
      <c r="O75" s="15">
        <v>-297234.5</v>
      </c>
      <c r="P75" s="15">
        <v>3543419.5</v>
      </c>
      <c r="Q75" s="15">
        <v>80102.5</v>
      </c>
      <c r="R75" s="15">
        <v>1654806.9999999998</v>
      </c>
      <c r="S75" s="15">
        <v>0.27403526954198559</v>
      </c>
      <c r="T75" s="15">
        <v>-560812.5</v>
      </c>
      <c r="U75" s="15">
        <v>298971.60784300684</v>
      </c>
      <c r="V75" s="15">
        <v>11808.382931178778</v>
      </c>
      <c r="W75" s="15">
        <v>3198.4738089812295</v>
      </c>
      <c r="X75" s="15">
        <v>4445.000954332846</v>
      </c>
      <c r="Y75" s="15">
        <v>1121.0180226168613</v>
      </c>
      <c r="Z75" s="15">
        <v>1121.0180226168613</v>
      </c>
      <c r="AA75" s="15">
        <v>3122574.9212536314</v>
      </c>
      <c r="AB75" s="15">
        <v>66419</v>
      </c>
      <c r="AC75" s="15">
        <v>51409.378125034164</v>
      </c>
      <c r="AD75" s="15">
        <v>42822.008547754675</v>
      </c>
      <c r="AE75" s="15">
        <v>-5381.5483134813912</v>
      </c>
      <c r="AF75" s="15">
        <v>53540</v>
      </c>
      <c r="AG75" s="15">
        <v>38337</v>
      </c>
      <c r="AH75" s="15">
        <v>857453.75961293839</v>
      </c>
      <c r="AI75" s="15">
        <v>204532</v>
      </c>
      <c r="AJ75" s="15">
        <v>149961.05483734238</v>
      </c>
      <c r="AK75" s="15">
        <v>54570.945162657634</v>
      </c>
      <c r="AL75" s="15">
        <f t="shared" si="28"/>
        <v>155399.09201329743</v>
      </c>
      <c r="AM75" s="15">
        <v>142003.05912128836</v>
      </c>
      <c r="AN75" s="15">
        <v>13396.032892009078</v>
      </c>
      <c r="AO75" s="15">
        <v>351414.61086053157</v>
      </c>
      <c r="AP75" s="15">
        <v>57707.719859720957</v>
      </c>
      <c r="AQ75" s="15">
        <v>23078.854160156268</v>
      </c>
      <c r="AR75" s="15">
        <f t="shared" si="25"/>
        <v>34628.865699564689</v>
      </c>
      <c r="AS75" s="15">
        <v>250994.87664511515</v>
      </c>
      <c r="AT75" s="15">
        <v>86687.127098834681</v>
      </c>
      <c r="AU75" s="15">
        <f t="shared" si="29"/>
        <v>164307.74954628048</v>
      </c>
      <c r="AV75" s="15">
        <v>-132607.00000000003</v>
      </c>
      <c r="AW75" s="15">
        <v>-67428.000000000029</v>
      </c>
      <c r="AX75" s="15">
        <v>2265121.161640693</v>
      </c>
      <c r="AY75" s="15">
        <v>2012489</v>
      </c>
      <c r="AZ75" s="15">
        <v>141856.62187496584</v>
      </c>
      <c r="BA75" s="15">
        <v>17748.336365445404</v>
      </c>
      <c r="BB75" s="15">
        <f t="shared" si="26"/>
        <v>124108.28550952044</v>
      </c>
      <c r="BC75" s="15">
        <v>126697.99145224536</v>
      </c>
      <c r="BD75" s="15">
        <v>-15922.451686518607</v>
      </c>
      <c r="BE75" s="15">
        <f t="shared" si="30"/>
        <v>169520.00000000003</v>
      </c>
      <c r="BF75" s="15">
        <v>1677513</v>
      </c>
      <c r="BG75" s="15">
        <v>334976.00000000012</v>
      </c>
      <c r="BH75" s="15">
        <v>129851.54958164884</v>
      </c>
      <c r="BI75" s="15">
        <v>16887.45041835116</v>
      </c>
      <c r="BJ75" s="15">
        <v>37345</v>
      </c>
      <c r="BK75" s="15">
        <v>22688</v>
      </c>
      <c r="BL75" s="15">
        <v>5025.0615716144721</v>
      </c>
      <c r="BM75" s="15">
        <v>653.51917950306836</v>
      </c>
      <c r="BN75" s="15">
        <v>1446.4192488824597</v>
      </c>
      <c r="BO75" s="15">
        <v>2879868.6999054821</v>
      </c>
      <c r="BP75" s="15">
        <v>346485.28931800264</v>
      </c>
      <c r="BQ75" s="15">
        <v>177996.98487975079</v>
      </c>
      <c r="BR75" s="15">
        <v>236845.05284960478</v>
      </c>
      <c r="BS75" s="15">
        <v>44930.999999999985</v>
      </c>
      <c r="BT75" s="15">
        <v>173823</v>
      </c>
      <c r="BU75" s="15">
        <v>26411</v>
      </c>
      <c r="BV75" s="15">
        <v>9405</v>
      </c>
      <c r="BW75" s="15">
        <v>11066</v>
      </c>
      <c r="BX75" s="15">
        <v>5219.9999999999827</v>
      </c>
      <c r="BY75" s="15">
        <v>16445</v>
      </c>
      <c r="BZ75" s="15">
        <v>49591.999999999971</v>
      </c>
      <c r="CA75" s="15">
        <v>13847</v>
      </c>
      <c r="CB75" s="15">
        <v>8285</v>
      </c>
      <c r="CC75" s="15">
        <v>57797</v>
      </c>
      <c r="CD75" s="15">
        <v>33871</v>
      </c>
      <c r="CE75" s="15">
        <v>19.72</v>
      </c>
      <c r="CF75" s="15">
        <v>16204.999999999998</v>
      </c>
      <c r="CG75" s="15">
        <v>107873</v>
      </c>
      <c r="CH75" s="15">
        <v>595393</v>
      </c>
      <c r="CI75" s="15">
        <v>160455</v>
      </c>
      <c r="CJ75" s="15">
        <v>5227.0787463693223</v>
      </c>
      <c r="CK75" s="15">
        <v>76495</v>
      </c>
      <c r="CL75" s="15">
        <v>914938.99999999988</v>
      </c>
      <c r="CM75" s="15">
        <v>769303</v>
      </c>
      <c r="CN75" s="15">
        <v>-75882.000000000058</v>
      </c>
      <c r="CO75" s="15">
        <v>-25128.419248882452</v>
      </c>
      <c r="CP75" s="15">
        <v>89837.655717280315</v>
      </c>
      <c r="CQ75" s="15">
        <v>119883</v>
      </c>
      <c r="CR75" s="15">
        <v>171379.70856688509</v>
      </c>
      <c r="CS75" s="15">
        <v>102100</v>
      </c>
      <c r="CT75" s="15">
        <v>69279.708566885107</v>
      </c>
      <c r="CU75" s="15">
        <v>91498</v>
      </c>
      <c r="CV75" s="15">
        <v>-21059.486166569244</v>
      </c>
      <c r="CW75" s="15">
        <v>286774</v>
      </c>
      <c r="CX75" s="15">
        <v>66105</v>
      </c>
      <c r="CY75" s="15">
        <v>1769</v>
      </c>
      <c r="CZ75" s="15">
        <v>8290</v>
      </c>
      <c r="DA75" s="19">
        <v>0</v>
      </c>
      <c r="DB75" s="19">
        <v>0</v>
      </c>
      <c r="DC75" s="19">
        <v>0.17614309236464387</v>
      </c>
      <c r="DD75" s="19">
        <v>0.16070911155807233</v>
      </c>
      <c r="DE75" s="19">
        <v>0.27659322033467199</v>
      </c>
      <c r="DF75" s="19">
        <v>0.25270147729582776</v>
      </c>
      <c r="DG75" s="19">
        <v>0.13385309844678406</v>
      </c>
      <c r="DH75" s="15">
        <v>50848.419248882463</v>
      </c>
      <c r="DI75" s="15">
        <v>2930642.2806565999</v>
      </c>
      <c r="DJ75" s="15">
        <v>2335249.2806565999</v>
      </c>
      <c r="DK75" s="15">
        <v>3051307.0000000009</v>
      </c>
      <c r="DL75" s="18">
        <v>0.12390862248857011</v>
      </c>
      <c r="DM75" s="15">
        <v>2004401.9868750633</v>
      </c>
      <c r="DN75" s="15">
        <v>1713244.3003310557</v>
      </c>
      <c r="DO75" s="15">
        <v>81575.472652276207</v>
      </c>
      <c r="DP75" s="15">
        <v>153679.87262845878</v>
      </c>
      <c r="DQ75" s="15">
        <v>50372.459612308376</v>
      </c>
      <c r="DR75" s="15">
        <v>5529.881650964101</v>
      </c>
      <c r="DS75" s="15">
        <v>2127821.9868750633</v>
      </c>
      <c r="DT75" s="18">
        <f t="shared" si="31"/>
        <v>8.6767021587157739E-2</v>
      </c>
      <c r="DU75" s="18">
        <f t="shared" si="32"/>
        <v>0.24979207133244244</v>
      </c>
      <c r="DV75" s="18">
        <f t="shared" si="33"/>
        <v>3.1185078035501544E-2</v>
      </c>
      <c r="DW75" s="18">
        <f t="shared" si="34"/>
        <v>-5.8497131891428161E-2</v>
      </c>
      <c r="DX75" s="18">
        <f t="shared" si="35"/>
        <v>0.10684516460181093</v>
      </c>
      <c r="DY75" s="18">
        <f t="shared" si="36"/>
        <v>0.36960637974039173</v>
      </c>
      <c r="DZ75" s="18">
        <f t="shared" si="37"/>
        <v>-0.11200360376027957</v>
      </c>
      <c r="EA75" s="18">
        <f t="shared" si="38"/>
        <v>0.14534038450696485</v>
      </c>
      <c r="EB75" s="18">
        <f t="shared" si="39"/>
        <v>0.18096463584743863</v>
      </c>
      <c r="EC75" s="18">
        <f t="shared" si="40"/>
        <v>0.69833823426592279</v>
      </c>
      <c r="ED75" s="18">
        <f t="shared" si="41"/>
        <v>4.9224568600917729E-2</v>
      </c>
      <c r="EE75" s="18">
        <f t="shared" si="42"/>
        <v>4.9146498479943949E-2</v>
      </c>
      <c r="EF75" s="18">
        <f t="shared" si="43"/>
        <v>1.7884449241802814E-2</v>
      </c>
      <c r="EG75" s="18">
        <f t="shared" si="44"/>
        <v>5.0928697772232481E-2</v>
      </c>
      <c r="EH75" s="18">
        <f t="shared" si="45"/>
        <v>9.1812029929109334E-2</v>
      </c>
      <c r="EI75" s="18">
        <f t="shared" si="46"/>
        <v>1.8912459434504932E-2</v>
      </c>
      <c r="EJ75" s="18">
        <f t="shared" si="47"/>
        <v>8.225815253762242E-2</v>
      </c>
      <c r="EK75" s="18">
        <f t="shared" si="48"/>
        <v>-4.3459081632887149E-2</v>
      </c>
      <c r="EL75" s="18">
        <f t="shared" si="49"/>
        <v>-2.2098071416609345E-2</v>
      </c>
      <c r="EM75" s="6">
        <v>2.1514354821747816</v>
      </c>
      <c r="EN75" s="6">
        <v>2.2609618104667613</v>
      </c>
      <c r="EO75" s="6">
        <v>2.3961174748660881</v>
      </c>
      <c r="EP75" s="6">
        <v>2.1862841717370811</v>
      </c>
      <c r="EQ75" s="14">
        <v>163134.6</v>
      </c>
      <c r="ER75" s="14">
        <v>27360.672999999999</v>
      </c>
      <c r="ES75" s="15">
        <v>234333</v>
      </c>
      <c r="ET75" s="15">
        <v>112648</v>
      </c>
      <c r="EU75" s="15">
        <v>3.35</v>
      </c>
      <c r="EV75" s="6">
        <v>35700</v>
      </c>
      <c r="EW75" s="6">
        <v>0.108</v>
      </c>
      <c r="EX75" s="16">
        <v>9.5570825443938384E-2</v>
      </c>
      <c r="EY75" s="16">
        <f t="shared" si="23"/>
        <v>1.2429174556061615E-2</v>
      </c>
      <c r="EZ75" s="6">
        <v>2.5999999999999999E-2</v>
      </c>
      <c r="FA75" s="20">
        <v>2300</v>
      </c>
      <c r="FB75" s="20">
        <v>2300</v>
      </c>
      <c r="FC75" s="20">
        <v>3400</v>
      </c>
      <c r="GF75" s="17">
        <v>304.3</v>
      </c>
      <c r="GG75" s="17">
        <v>456.4</v>
      </c>
      <c r="GJ75" s="6">
        <v>0.32519045012376063</v>
      </c>
      <c r="GK75" s="6">
        <v>0.42398345068249604</v>
      </c>
      <c r="GL75" s="21">
        <v>118000</v>
      </c>
      <c r="GM75" s="21">
        <v>117999.99999999999</v>
      </c>
    </row>
    <row r="76" spans="1:195" ht="15">
      <c r="A76" s="12">
        <v>1984</v>
      </c>
      <c r="B76" s="13">
        <v>0.93045691426499233</v>
      </c>
      <c r="C76" s="15">
        <f t="shared" si="27"/>
        <v>10400378.367932299</v>
      </c>
      <c r="D76" s="15">
        <v>746625.16437699145</v>
      </c>
      <c r="E76" s="15">
        <v>310039.62150665955</v>
      </c>
      <c r="F76" s="15">
        <v>2108325.0423094449</v>
      </c>
      <c r="G76" s="15">
        <v>166353.62824186904</v>
      </c>
      <c r="H76" s="15">
        <v>112861.0000000002</v>
      </c>
      <c r="I76" s="15">
        <v>1363472.4999999998</v>
      </c>
      <c r="J76" s="15">
        <v>1040744.5236185347</v>
      </c>
      <c r="K76" s="15">
        <v>322727.97638146492</v>
      </c>
      <c r="L76" s="15">
        <v>88726.544563781164</v>
      </c>
      <c r="M76" s="15">
        <v>1082519.4999999998</v>
      </c>
      <c r="N76" s="15">
        <v>-1179839</v>
      </c>
      <c r="O76" s="15">
        <v>-335071.5</v>
      </c>
      <c r="P76" s="15">
        <v>3924428</v>
      </c>
      <c r="Q76" s="15">
        <v>122227.49999999999</v>
      </c>
      <c r="R76" s="15">
        <v>1871392.5</v>
      </c>
      <c r="S76" s="15">
        <v>0.27283675619437975</v>
      </c>
      <c r="T76" s="15">
        <v>-626431</v>
      </c>
      <c r="U76" s="15">
        <v>309677.36693355325</v>
      </c>
      <c r="V76" s="15">
        <v>14731.17202059567</v>
      </c>
      <c r="W76" s="15">
        <v>3370.64670251087</v>
      </c>
      <c r="X76" s="15">
        <v>4535.2696948270714</v>
      </c>
      <c r="Y76" s="15">
        <v>1178.797956593542</v>
      </c>
      <c r="Z76" s="15">
        <v>1178.797956593542</v>
      </c>
      <c r="AA76" s="15">
        <v>3513867.9356442015</v>
      </c>
      <c r="AB76" s="15">
        <v>81477</v>
      </c>
      <c r="AC76" s="15">
        <v>61935.144420084929</v>
      </c>
      <c r="AD76" s="15">
        <v>49788.223624388927</v>
      </c>
      <c r="AE76" s="15">
        <v>-5543.106088854227</v>
      </c>
      <c r="AF76" s="15">
        <v>57622.000000000007</v>
      </c>
      <c r="AG76" s="15">
        <v>42078</v>
      </c>
      <c r="AH76" s="15">
        <v>998114.19759982137</v>
      </c>
      <c r="AI76" s="15">
        <v>222314</v>
      </c>
      <c r="AJ76" s="15">
        <v>162619.72396959175</v>
      </c>
      <c r="AK76" s="15">
        <v>59694.276030408255</v>
      </c>
      <c r="AL76" s="15">
        <f t="shared" si="28"/>
        <v>234398.58641826754</v>
      </c>
      <c r="AM76" s="15">
        <v>212509.96013157198</v>
      </c>
      <c r="AN76" s="15">
        <v>21888.626286695555</v>
      </c>
      <c r="AO76" s="15">
        <v>335544.95698935684</v>
      </c>
      <c r="AP76" s="15">
        <v>68842.557282884634</v>
      </c>
      <c r="AQ76" s="15">
        <v>26010.244399906132</v>
      </c>
      <c r="AR76" s="15">
        <f t="shared" si="25"/>
        <v>42832.312882978498</v>
      </c>
      <c r="AS76" s="15">
        <v>316571.97937377769</v>
      </c>
      <c r="AT76" s="15">
        <v>154818.16861777825</v>
      </c>
      <c r="AU76" s="15">
        <f t="shared" si="29"/>
        <v>161753.81075599944</v>
      </c>
      <c r="AV76" s="15">
        <v>-148759.99999999997</v>
      </c>
      <c r="AW76" s="15">
        <v>-75043</v>
      </c>
      <c r="AX76" s="15">
        <v>2515753.7380443802</v>
      </c>
      <c r="AY76" s="15">
        <v>2215872</v>
      </c>
      <c r="AZ76" s="15">
        <v>175985.85557991508</v>
      </c>
      <c r="BA76" s="15">
        <v>20187.671351610639</v>
      </c>
      <c r="BB76" s="15">
        <f t="shared" si="26"/>
        <v>155798.18422830442</v>
      </c>
      <c r="BC76" s="15">
        <v>139417.77637561108</v>
      </c>
      <c r="BD76" s="15">
        <v>-15521.89391114578</v>
      </c>
      <c r="BE76" s="15">
        <f t="shared" si="30"/>
        <v>189206</v>
      </c>
      <c r="BF76" s="15">
        <v>1844915</v>
      </c>
      <c r="BG76" s="15">
        <v>370956.99999999988</v>
      </c>
      <c r="BH76" s="15">
        <v>151952.03236238559</v>
      </c>
      <c r="BI76" s="15">
        <v>14767.967637614414</v>
      </c>
      <c r="BJ76" s="15">
        <v>41140</v>
      </c>
      <c r="BK76" s="15">
        <v>27319</v>
      </c>
      <c r="BL76" s="15">
        <v>6117.1987249612066</v>
      </c>
      <c r="BM76" s="15">
        <v>594.52046411355423</v>
      </c>
      <c r="BN76" s="15">
        <v>1704.2808109252387</v>
      </c>
      <c r="BO76" s="15">
        <v>3192231.9236635608</v>
      </c>
      <c r="BP76" s="15">
        <v>390616.24921539612</v>
      </c>
      <c r="BQ76" s="15">
        <v>228490.55257291414</v>
      </c>
      <c r="BR76" s="15">
        <v>262435.78980766935</v>
      </c>
      <c r="BS76" s="15">
        <v>35034.999999999971</v>
      </c>
      <c r="BT76" s="15">
        <v>183029.00000000003</v>
      </c>
      <c r="BU76" s="15">
        <v>15991</v>
      </c>
      <c r="BV76" s="15">
        <v>10372</v>
      </c>
      <c r="BW76" s="15">
        <v>10669</v>
      </c>
      <c r="BX76" s="15">
        <v>5227.9999999999827</v>
      </c>
      <c r="BY76" s="15">
        <v>16274.999999999998</v>
      </c>
      <c r="BZ76" s="15">
        <v>50668.999999999985</v>
      </c>
      <c r="CA76" s="15">
        <v>14480</v>
      </c>
      <c r="CB76" s="15">
        <v>8226</v>
      </c>
      <c r="CC76" s="15">
        <v>64748.000000000007</v>
      </c>
      <c r="CD76" s="15">
        <v>36572</v>
      </c>
      <c r="CE76" s="15">
        <v>19.759999999999998</v>
      </c>
      <c r="CF76" s="15">
        <v>17308</v>
      </c>
      <c r="CG76" s="15">
        <v>118628.00000000001</v>
      </c>
      <c r="CH76" s="15">
        <v>634728</v>
      </c>
      <c r="CI76" s="15">
        <v>172719</v>
      </c>
      <c r="CJ76" s="15">
        <v>15663.064355798448</v>
      </c>
      <c r="CK76" s="15">
        <v>95841</v>
      </c>
      <c r="CL76" s="15">
        <v>1014128.9999999999</v>
      </c>
      <c r="CM76" s="15">
        <v>820300</v>
      </c>
      <c r="CN76" s="15">
        <v>-26245.999999999982</v>
      </c>
      <c r="CO76" s="15">
        <v>1730.7191890747333</v>
      </c>
      <c r="CP76" s="15">
        <v>91414.74021865199</v>
      </c>
      <c r="CQ76" s="15">
        <v>139038</v>
      </c>
      <c r="CR76" s="15">
        <v>189865.53002632136</v>
      </c>
      <c r="CS76" s="15">
        <v>106867</v>
      </c>
      <c r="CT76" s="15">
        <v>82998.530026321358</v>
      </c>
      <c r="CU76" s="15">
        <v>100346</v>
      </c>
      <c r="CV76" s="15">
        <v>-25938.611800608527</v>
      </c>
      <c r="CW76" s="15">
        <v>301893</v>
      </c>
      <c r="CX76" s="15">
        <v>76023</v>
      </c>
      <c r="CY76" s="15">
        <v>1694</v>
      </c>
      <c r="CZ76" s="15">
        <v>8360</v>
      </c>
      <c r="DA76" s="19">
        <v>0</v>
      </c>
      <c r="DB76" s="19">
        <v>0</v>
      </c>
      <c r="DC76" s="19">
        <v>0.15143374693975475</v>
      </c>
      <c r="DD76" s="19">
        <v>0.15757900760863308</v>
      </c>
      <c r="DE76" s="19">
        <v>0.28472694774517021</v>
      </c>
      <c r="DF76" s="19">
        <v>0.25976124279065149</v>
      </c>
      <c r="DG76" s="19">
        <v>0.14649905491579043</v>
      </c>
      <c r="DH76" s="15">
        <v>56719.28081092528</v>
      </c>
      <c r="DI76" s="15">
        <v>3220218.6428526356</v>
      </c>
      <c r="DJ76" s="15">
        <v>2585490.6428526356</v>
      </c>
      <c r="DK76" s="15">
        <v>3433690</v>
      </c>
      <c r="DL76" s="18">
        <v>0.13768805955589336</v>
      </c>
      <c r="DM76" s="15">
        <v>2193702.7680859203</v>
      </c>
      <c r="DN76" s="15">
        <v>1877566.7333090233</v>
      </c>
      <c r="DO76" s="15">
        <v>85403.38569952207</v>
      </c>
      <c r="DP76" s="15">
        <v>175874.01672557439</v>
      </c>
      <c r="DQ76" s="15">
        <v>50286.724576636552</v>
      </c>
      <c r="DR76" s="15">
        <v>4571.907775163857</v>
      </c>
      <c r="DS76" s="15">
        <v>2331723.2680859203</v>
      </c>
      <c r="DT76" s="18">
        <f t="shared" si="31"/>
        <v>8.0319357564569926E-2</v>
      </c>
      <c r="DU76" s="18">
        <f t="shared" si="32"/>
        <v>0.25937318784242269</v>
      </c>
      <c r="DV76" s="18">
        <f t="shared" si="33"/>
        <v>2.9775586616001187E-2</v>
      </c>
      <c r="DW76" s="18">
        <f t="shared" si="34"/>
        <v>-6.0231558683623246E-2</v>
      </c>
      <c r="DX76" s="18">
        <f t="shared" si="35"/>
        <v>0.10408462670336634</v>
      </c>
      <c r="DY76" s="18">
        <f t="shared" si="36"/>
        <v>0.37733511812418957</v>
      </c>
      <c r="DZ76" s="18">
        <f t="shared" si="37"/>
        <v>-0.11344193050108849</v>
      </c>
      <c r="EA76" s="18">
        <f t="shared" si="38"/>
        <v>0.13109835544099266</v>
      </c>
      <c r="EB76" s="18">
        <f t="shared" si="39"/>
        <v>0.19168725689316934</v>
      </c>
      <c r="EC76" s="18">
        <f t="shared" si="40"/>
        <v>0.68294803172609175</v>
      </c>
      <c r="ED76" s="18">
        <f t="shared" si="41"/>
        <v>5.4240133762209757E-2</v>
      </c>
      <c r="EE76" s="18">
        <f t="shared" si="42"/>
        <v>4.7360048219143767E-2</v>
      </c>
      <c r="EF76" s="18">
        <f t="shared" si="43"/>
        <v>1.7384876337237273E-2</v>
      </c>
      <c r="EG76" s="18">
        <f t="shared" si="44"/>
        <v>6.8264341398981132E-2</v>
      </c>
      <c r="EH76" s="18">
        <f t="shared" si="45"/>
        <v>7.4371018159809205E-2</v>
      </c>
      <c r="EI76" s="18">
        <f t="shared" si="46"/>
        <v>2.0049147501051242E-2</v>
      </c>
      <c r="EJ76" s="18">
        <f t="shared" si="47"/>
        <v>9.2195853258091931E-2</v>
      </c>
      <c r="EK76" s="18">
        <f t="shared" si="48"/>
        <v>-4.3323654727130283E-2</v>
      </c>
      <c r="EL76" s="18">
        <f t="shared" si="49"/>
        <v>-2.1854914101156482E-2</v>
      </c>
      <c r="EM76" s="6">
        <v>2.0764483780601681</v>
      </c>
      <c r="EN76" s="6">
        <v>2.1761715343217545</v>
      </c>
      <c r="EO76" s="6">
        <v>2.3018881359668599</v>
      </c>
      <c r="EP76" s="6">
        <v>2.106711534094428</v>
      </c>
      <c r="EQ76" s="14">
        <v>165649.79999999999</v>
      </c>
      <c r="ER76" s="14">
        <v>27877.507000000001</v>
      </c>
      <c r="ES76" s="15">
        <v>236394</v>
      </c>
      <c r="ET76" s="15">
        <v>114460</v>
      </c>
      <c r="EU76" s="15">
        <v>3.35</v>
      </c>
      <c r="EV76" s="6">
        <v>37800</v>
      </c>
      <c r="EW76" s="6">
        <v>0.114</v>
      </c>
      <c r="EX76" s="16">
        <v>0.10390194151458707</v>
      </c>
      <c r="EY76" s="16">
        <f t="shared" si="23"/>
        <v>1.0098058485412939E-2</v>
      </c>
      <c r="EZ76" s="6">
        <v>2.5999999999999999E-2</v>
      </c>
      <c r="FA76" s="20">
        <v>2300</v>
      </c>
      <c r="FB76" s="20">
        <v>2300</v>
      </c>
      <c r="FC76" s="20">
        <v>3400</v>
      </c>
      <c r="GF76" s="17">
        <v>314</v>
      </c>
      <c r="GG76" s="17">
        <v>472</v>
      </c>
      <c r="GJ76" s="6">
        <v>0.20239455879537024</v>
      </c>
      <c r="GK76" s="6">
        <v>0.43410459948631691</v>
      </c>
      <c r="GL76" s="21">
        <v>125000</v>
      </c>
      <c r="GM76" s="21">
        <v>124999.99999999999</v>
      </c>
    </row>
    <row r="77" spans="1:195" ht="15">
      <c r="A77" s="12">
        <v>1985</v>
      </c>
      <c r="B77" s="13">
        <v>0.93492440685441058</v>
      </c>
      <c r="C77" s="15">
        <f t="shared" si="27"/>
        <v>11536806.435307518</v>
      </c>
      <c r="D77" s="15">
        <v>776765.49770952994</v>
      </c>
      <c r="E77" s="15">
        <v>421799.0018116053</v>
      </c>
      <c r="F77" s="15">
        <v>2297638.0142139602</v>
      </c>
      <c r="G77" s="15">
        <v>207680.59866865905</v>
      </c>
      <c r="H77" s="15">
        <v>129709.00000000077</v>
      </c>
      <c r="I77" s="15">
        <v>1288670.9999999998</v>
      </c>
      <c r="J77" s="15">
        <v>960971.80544899125</v>
      </c>
      <c r="K77" s="15">
        <v>327699.19455100864</v>
      </c>
      <c r="L77" s="15">
        <v>98645.391950685458</v>
      </c>
      <c r="M77" s="15">
        <v>1188165.5</v>
      </c>
      <c r="N77" s="15">
        <v>-1346771.5</v>
      </c>
      <c r="O77" s="15">
        <v>-350485</v>
      </c>
      <c r="P77" s="15">
        <v>4530614.5</v>
      </c>
      <c r="Q77" s="15">
        <v>185247.5</v>
      </c>
      <c r="R77" s="15">
        <v>2156561</v>
      </c>
      <c r="S77" s="15">
        <v>0.27947880415076709</v>
      </c>
      <c r="T77" s="15">
        <v>-718902.49999999988</v>
      </c>
      <c r="U77" s="15">
        <v>320983.43095307756</v>
      </c>
      <c r="V77" s="15">
        <v>18073.427422720812</v>
      </c>
      <c r="W77" s="15">
        <v>3947.9363142788952</v>
      </c>
      <c r="X77" s="15">
        <v>5141.0220231560288</v>
      </c>
      <c r="Y77" s="15">
        <v>1377.7476393130751</v>
      </c>
      <c r="Z77" s="15">
        <v>1377.7476393130751</v>
      </c>
      <c r="AA77" s="15">
        <v>3761577.3245987762</v>
      </c>
      <c r="AB77" s="15">
        <v>81610</v>
      </c>
      <c r="AC77" s="15">
        <v>65395.663604617002</v>
      </c>
      <c r="AD77" s="15">
        <v>52448.024715555694</v>
      </c>
      <c r="AE77" s="15">
        <v>-5531.9402108717477</v>
      </c>
      <c r="AF77" s="15">
        <v>61347</v>
      </c>
      <c r="AG77" s="15">
        <v>46144</v>
      </c>
      <c r="AH77" s="15">
        <v>1053848.072708077</v>
      </c>
      <c r="AI77" s="15">
        <v>248033</v>
      </c>
      <c r="AJ77" s="15">
        <v>173984.21636330531</v>
      </c>
      <c r="AK77" s="15">
        <v>74048.783636694687</v>
      </c>
      <c r="AL77" s="15">
        <f t="shared" si="28"/>
        <v>229668.93339309364</v>
      </c>
      <c r="AM77" s="15">
        <v>205040.19581382902</v>
      </c>
      <c r="AN77" s="15">
        <v>24628.737579264627</v>
      </c>
      <c r="AO77" s="15">
        <v>362386.08863402065</v>
      </c>
      <c r="AP77" s="15">
        <v>72986.242029337896</v>
      </c>
      <c r="AQ77" s="15">
        <v>27545.701509692484</v>
      </c>
      <c r="AR77" s="15">
        <f t="shared" si="25"/>
        <v>45440.540519645408</v>
      </c>
      <c r="AS77" s="15">
        <v>353785.72414694086</v>
      </c>
      <c r="AT77" s="15">
        <v>172762.44247243402</v>
      </c>
      <c r="AU77" s="15">
        <f t="shared" si="29"/>
        <v>181023.28167450684</v>
      </c>
      <c r="AV77" s="15">
        <v>-169371</v>
      </c>
      <c r="AW77" s="15">
        <v>-90557</v>
      </c>
      <c r="AX77" s="15">
        <v>2707729.2518906994</v>
      </c>
      <c r="AY77" s="15">
        <v>2387324</v>
      </c>
      <c r="AZ77" s="15">
        <v>186168.33639538303</v>
      </c>
      <c r="BA77" s="15">
        <v>21080.590813851006</v>
      </c>
      <c r="BB77" s="15">
        <f t="shared" si="26"/>
        <v>165087.74558153201</v>
      </c>
      <c r="BC77" s="15">
        <v>150064.97528444423</v>
      </c>
      <c r="BD77" s="15">
        <v>-15828.059789128249</v>
      </c>
      <c r="BE77" s="15">
        <f t="shared" si="30"/>
        <v>202512.99999999991</v>
      </c>
      <c r="BF77" s="15">
        <v>1982551</v>
      </c>
      <c r="BG77" s="15">
        <v>404773.00000000012</v>
      </c>
      <c r="BH77" s="15">
        <v>166536.66375909484</v>
      </c>
      <c r="BI77" s="15">
        <v>16179.336240905166</v>
      </c>
      <c r="BJ77" s="15">
        <v>45450</v>
      </c>
      <c r="BK77" s="15">
        <v>27572</v>
      </c>
      <c r="BL77" s="15">
        <v>7933.9421973442095</v>
      </c>
      <c r="BM77" s="15">
        <v>770.79674606924311</v>
      </c>
      <c r="BN77" s="15">
        <v>2167.261056586548</v>
      </c>
      <c r="BO77" s="15">
        <v>3381070.0355555383</v>
      </c>
      <c r="BP77" s="15">
        <v>430843.85730745504</v>
      </c>
      <c r="BQ77" s="15">
        <v>270260.7650691162</v>
      </c>
      <c r="BR77" s="15">
        <v>284507.33333333337</v>
      </c>
      <c r="BS77" s="15">
        <v>36089.999999999978</v>
      </c>
      <c r="BT77" s="15">
        <v>193791</v>
      </c>
      <c r="BU77" s="15">
        <v>15861</v>
      </c>
      <c r="BV77" s="15">
        <v>11058</v>
      </c>
      <c r="BW77" s="15">
        <v>10690</v>
      </c>
      <c r="BX77" s="15">
        <v>5817.0000000000173</v>
      </c>
      <c r="BY77" s="15">
        <v>16551</v>
      </c>
      <c r="BZ77" s="15">
        <v>53247.000000000015</v>
      </c>
      <c r="CA77" s="15">
        <v>15185</v>
      </c>
      <c r="CB77" s="15">
        <v>8920</v>
      </c>
      <c r="CC77" s="15">
        <v>69720</v>
      </c>
      <c r="CD77" s="15">
        <v>39673</v>
      </c>
      <c r="CE77" s="15">
        <v>19.8</v>
      </c>
      <c r="CF77" s="15">
        <v>18308.999999999996</v>
      </c>
      <c r="CG77" s="15">
        <v>127702</v>
      </c>
      <c r="CH77" s="15">
        <v>690640</v>
      </c>
      <c r="CI77" s="15">
        <v>186855</v>
      </c>
      <c r="CJ77" s="15">
        <v>15960.675401223771</v>
      </c>
      <c r="CK77" s="15">
        <v>107843.99999999997</v>
      </c>
      <c r="CL77" s="15">
        <v>1099730.9999999998</v>
      </c>
      <c r="CM77" s="15">
        <v>888140</v>
      </c>
      <c r="CN77" s="15">
        <v>-19409.000000000142</v>
      </c>
      <c r="CO77" s="15">
        <v>9340.7389434134984</v>
      </c>
      <c r="CP77" s="15">
        <v>100905.78503070821</v>
      </c>
      <c r="CQ77" s="15">
        <v>147734</v>
      </c>
      <c r="CR77" s="15">
        <v>211851.11836404155</v>
      </c>
      <c r="CS77" s="15">
        <v>118874.99999999999</v>
      </c>
      <c r="CT77" s="15">
        <v>92976.118364041584</v>
      </c>
      <c r="CU77" s="15">
        <v>110074</v>
      </c>
      <c r="CV77" s="15">
        <v>-15757.552367230261</v>
      </c>
      <c r="CW77" s="15">
        <v>336453</v>
      </c>
      <c r="CX77" s="15">
        <v>81360</v>
      </c>
      <c r="CY77" s="15">
        <v>1577</v>
      </c>
      <c r="CZ77" s="15">
        <v>8934</v>
      </c>
      <c r="DA77" s="19">
        <v>0</v>
      </c>
      <c r="DB77" s="19">
        <v>0</v>
      </c>
      <c r="DC77" s="19">
        <v>0.12672440151486575</v>
      </c>
      <c r="DD77" s="19">
        <v>0.15444890365919361</v>
      </c>
      <c r="DE77" s="19">
        <v>0.29286067515566849</v>
      </c>
      <c r="DF77" s="19">
        <v>0.26682100828547534</v>
      </c>
      <c r="DG77" s="19">
        <v>0.15914501138479681</v>
      </c>
      <c r="DH77" s="15">
        <v>62377.261056586503</v>
      </c>
      <c r="DI77" s="15">
        <v>3409831.7744989512</v>
      </c>
      <c r="DJ77" s="15">
        <v>2719191.7744989516</v>
      </c>
      <c r="DK77" s="15">
        <v>3669694</v>
      </c>
      <c r="DL77" s="18">
        <v>0.11339313496455444</v>
      </c>
      <c r="DM77" s="15">
        <v>2349494.8790044314</v>
      </c>
      <c r="DN77" s="15">
        <v>2012274.5339076468</v>
      </c>
      <c r="DO77" s="15">
        <v>93608.931226396831</v>
      </c>
      <c r="DP77" s="15">
        <v>181631.16867395371</v>
      </c>
      <c r="DQ77" s="15">
        <v>56711.082878601577</v>
      </c>
      <c r="DR77" s="15">
        <v>5269.1623178323607</v>
      </c>
      <c r="DS77" s="15">
        <v>2521716.8790044314</v>
      </c>
      <c r="DT77" s="18">
        <f t="shared" si="31"/>
        <v>7.5879828145602499E-2</v>
      </c>
      <c r="DU77" s="18">
        <f t="shared" si="32"/>
        <v>0.26496298016572772</v>
      </c>
      <c r="DV77" s="18">
        <f t="shared" si="33"/>
        <v>2.7822554946465274E-2</v>
      </c>
      <c r="DW77" s="18">
        <f t="shared" si="34"/>
        <v>-6.2313821769588981E-2</v>
      </c>
      <c r="DX77" s="18">
        <f t="shared" si="35"/>
        <v>0.10298911632630933</v>
      </c>
      <c r="DY77" s="18">
        <f t="shared" si="36"/>
        <v>0.3927095878227097</v>
      </c>
      <c r="DZ77" s="18">
        <f t="shared" si="37"/>
        <v>-0.11673694167896484</v>
      </c>
      <c r="EA77" s="18">
        <f t="shared" si="38"/>
        <v>0.11170084262280074</v>
      </c>
      <c r="EB77" s="18">
        <f t="shared" si="39"/>
        <v>0.20298585341893866</v>
      </c>
      <c r="EC77" s="18">
        <f t="shared" si="40"/>
        <v>0.68848606018224656</v>
      </c>
      <c r="ED77" s="18">
        <f t="shared" si="41"/>
        <v>5.3689530392833321E-2</v>
      </c>
      <c r="EE77" s="18">
        <f t="shared" si="42"/>
        <v>4.7411096501044858E-2</v>
      </c>
      <c r="EF77" s="18">
        <f t="shared" si="43"/>
        <v>2.0178462737409357E-2</v>
      </c>
      <c r="EG77" s="18">
        <f t="shared" si="44"/>
        <v>6.2585309127435054E-2</v>
      </c>
      <c r="EH77" s="18">
        <f t="shared" si="45"/>
        <v>7.3712621279933555E-2</v>
      </c>
      <c r="EI77" s="18">
        <f t="shared" si="46"/>
        <v>1.9888917721569671E-2</v>
      </c>
      <c r="EJ77" s="18">
        <f t="shared" si="47"/>
        <v>9.6407418206243045E-2</v>
      </c>
      <c r="EK77" s="18">
        <f t="shared" si="48"/>
        <v>-4.6153984501160039E-2</v>
      </c>
      <c r="EL77" s="18">
        <f t="shared" si="49"/>
        <v>-2.4676989416556258E-2</v>
      </c>
      <c r="EM77" s="6">
        <v>2.0127902400629676</v>
      </c>
      <c r="EN77" s="6">
        <v>2.103246232602126</v>
      </c>
      <c r="EO77" s="6">
        <v>2.2254826758110497</v>
      </c>
      <c r="EP77" s="6">
        <v>2.0357285349505267</v>
      </c>
      <c r="EQ77" s="14">
        <v>168205</v>
      </c>
      <c r="ER77" s="14">
        <v>28416.179</v>
      </c>
      <c r="ES77" s="15">
        <v>238506</v>
      </c>
      <c r="ET77" s="15">
        <v>116740</v>
      </c>
      <c r="EU77" s="15">
        <v>3.35</v>
      </c>
      <c r="EV77" s="6">
        <v>39600</v>
      </c>
      <c r="EW77" s="6">
        <v>0.114</v>
      </c>
      <c r="EX77" s="16">
        <v>0.10390540329547938</v>
      </c>
      <c r="EY77" s="16">
        <f t="shared" si="23"/>
        <v>1.009459670452062E-2</v>
      </c>
      <c r="EZ77" s="6">
        <v>2.7E-2</v>
      </c>
      <c r="FA77" s="20">
        <v>2400</v>
      </c>
      <c r="FB77" s="20">
        <v>2400</v>
      </c>
      <c r="FC77" s="20">
        <v>3550</v>
      </c>
      <c r="GF77" s="17">
        <v>325</v>
      </c>
      <c r="GG77" s="17">
        <v>488</v>
      </c>
      <c r="GJ77" s="6">
        <v>0.21433615832354849</v>
      </c>
      <c r="GK77" s="6">
        <v>0.42893746224183338</v>
      </c>
      <c r="GL77" s="21">
        <v>134000</v>
      </c>
      <c r="GM77" s="21">
        <v>134000</v>
      </c>
    </row>
    <row r="78" spans="1:195" ht="15">
      <c r="A78" s="12">
        <v>1986</v>
      </c>
      <c r="B78" s="13">
        <v>0.93098664234361361</v>
      </c>
      <c r="C78" s="15">
        <f t="shared" si="27"/>
        <v>12901306.398642857</v>
      </c>
      <c r="D78" s="15">
        <v>951807.25467534736</v>
      </c>
      <c r="E78" s="15">
        <v>523797.58986763202</v>
      </c>
      <c r="F78" s="15">
        <v>2434382.2264338862</v>
      </c>
      <c r="G78" s="15">
        <v>269861.33565522014</v>
      </c>
      <c r="H78" s="15">
        <v>155441.99999999968</v>
      </c>
      <c r="I78" s="15">
        <v>1262879.5</v>
      </c>
      <c r="J78" s="15">
        <v>895805.54901790316</v>
      </c>
      <c r="K78" s="15">
        <v>367073.9509820969</v>
      </c>
      <c r="L78" s="15">
        <v>112452.90910525506</v>
      </c>
      <c r="M78" s="15">
        <v>1304866.5</v>
      </c>
      <c r="N78" s="15">
        <v>-1549636.5</v>
      </c>
      <c r="O78" s="15">
        <v>-364577.5</v>
      </c>
      <c r="P78" s="15">
        <v>5111379</v>
      </c>
      <c r="Q78" s="15">
        <v>265197.5</v>
      </c>
      <c r="R78" s="15">
        <v>2481099.5000000005</v>
      </c>
      <c r="S78" s="15">
        <v>0.2867495782295521</v>
      </c>
      <c r="T78" s="15">
        <v>-805189.5</v>
      </c>
      <c r="U78" s="15">
        <v>382967.08290551679</v>
      </c>
      <c r="V78" s="15">
        <v>37452.777151462884</v>
      </c>
      <c r="W78" s="15">
        <v>3540.8909731391041</v>
      </c>
      <c r="X78" s="15">
        <v>4460.6590579504964</v>
      </c>
      <c r="Y78" s="15">
        <v>1233.1107422967914</v>
      </c>
      <c r="Z78" s="15">
        <v>1233.1107422967914</v>
      </c>
      <c r="AA78" s="15">
        <v>3930592.1519558816</v>
      </c>
      <c r="AB78" s="15">
        <v>91871</v>
      </c>
      <c r="AC78" s="15">
        <v>66123.455870597347</v>
      </c>
      <c r="AD78" s="15">
        <v>51304.469152496735</v>
      </c>
      <c r="AE78" s="15">
        <v>-6089.0976160462951</v>
      </c>
      <c r="AF78" s="15">
        <v>65147.999999999993</v>
      </c>
      <c r="AG78" s="15">
        <v>51010</v>
      </c>
      <c r="AH78" s="15">
        <v>1049134.9793629295</v>
      </c>
      <c r="AI78" s="15">
        <v>270104.00000000006</v>
      </c>
      <c r="AJ78" s="15">
        <v>187317.14245008689</v>
      </c>
      <c r="AK78" s="15">
        <v>82786.85754991314</v>
      </c>
      <c r="AL78" s="15">
        <f t="shared" si="28"/>
        <v>219818.9384516885</v>
      </c>
      <c r="AM78" s="15">
        <v>191308.77375916761</v>
      </c>
      <c r="AN78" s="15">
        <v>28510.164692520892</v>
      </c>
      <c r="AO78" s="15">
        <v>374700.82901003817</v>
      </c>
      <c r="AP78" s="15">
        <v>74570.507263131338</v>
      </c>
      <c r="AQ78" s="15">
        <v>25396.250023148565</v>
      </c>
      <c r="AR78" s="15">
        <f t="shared" si="25"/>
        <v>49174.257239982777</v>
      </c>
      <c r="AS78" s="15">
        <v>353152.33310162084</v>
      </c>
      <c r="AT78" s="15">
        <v>158283.69049883256</v>
      </c>
      <c r="AU78" s="15">
        <f t="shared" si="29"/>
        <v>194868.64260278828</v>
      </c>
      <c r="AV78" s="15">
        <v>-191131.99999999997</v>
      </c>
      <c r="AW78" s="15">
        <v>-97294.999999999985</v>
      </c>
      <c r="AX78" s="15">
        <v>2881457.1725929524</v>
      </c>
      <c r="AY78" s="15">
        <v>2542063</v>
      </c>
      <c r="AZ78" s="15">
        <v>199748.54412940261</v>
      </c>
      <c r="BA78" s="15">
        <v>21274.367611792073</v>
      </c>
      <c r="BB78" s="15">
        <f t="shared" si="26"/>
        <v>178474.17651761053</v>
      </c>
      <c r="BC78" s="15">
        <v>158451.53084750325</v>
      </c>
      <c r="BD78" s="15">
        <v>-18805.902383953711</v>
      </c>
      <c r="BE78" s="15">
        <f t="shared" si="30"/>
        <v>209756</v>
      </c>
      <c r="BF78" s="15">
        <v>2102335</v>
      </c>
      <c r="BG78" s="15">
        <v>439728.00000000006</v>
      </c>
      <c r="BH78" s="15">
        <v>178527.46433410648</v>
      </c>
      <c r="BI78" s="15">
        <v>17223.535665893538</v>
      </c>
      <c r="BJ78" s="15">
        <v>52155</v>
      </c>
      <c r="BK78" s="15">
        <v>26748</v>
      </c>
      <c r="BL78" s="15">
        <v>8917.6342747480012</v>
      </c>
      <c r="BM78" s="15">
        <v>860.3336890455904</v>
      </c>
      <c r="BN78" s="15">
        <v>2608.0320362064085</v>
      </c>
      <c r="BO78" s="15">
        <v>3535434.9310525567</v>
      </c>
      <c r="BP78" s="15">
        <v>461805.67466555536</v>
      </c>
      <c r="BQ78" s="15">
        <v>280175.04623776954</v>
      </c>
      <c r="BR78" s="15">
        <v>308970.5</v>
      </c>
      <c r="BS78" s="15">
        <v>37853.000000000007</v>
      </c>
      <c r="BT78" s="15">
        <v>204709.99999999997</v>
      </c>
      <c r="BU78" s="15">
        <v>16467</v>
      </c>
      <c r="BV78" s="15">
        <v>12079</v>
      </c>
      <c r="BW78" s="15">
        <v>10553</v>
      </c>
      <c r="BX78" s="15">
        <v>6406.0000000000036</v>
      </c>
      <c r="BY78" s="15">
        <v>16589</v>
      </c>
      <c r="BZ78" s="15">
        <v>56621.000000000015</v>
      </c>
      <c r="CA78" s="15">
        <v>16138.000000000002</v>
      </c>
      <c r="CB78" s="15">
        <v>9436</v>
      </c>
      <c r="CC78" s="15">
        <v>75269</v>
      </c>
      <c r="CD78" s="15">
        <v>43645</v>
      </c>
      <c r="CE78" s="15">
        <v>20.420000000000002</v>
      </c>
      <c r="CF78" s="15">
        <v>19716</v>
      </c>
      <c r="CG78" s="15">
        <v>138630.00000000003</v>
      </c>
      <c r="CH78" s="15">
        <v>737989</v>
      </c>
      <c r="CI78" s="15">
        <v>201108</v>
      </c>
      <c r="CJ78" s="15">
        <v>17475.848044118371</v>
      </c>
      <c r="CK78" s="15">
        <v>117136.00000000001</v>
      </c>
      <c r="CL78" s="15">
        <v>1169048</v>
      </c>
      <c r="CM78" s="15">
        <v>949829.00000000012</v>
      </c>
      <c r="CN78" s="15">
        <v>-26841.000000000156</v>
      </c>
      <c r="CO78" s="15">
        <v>11099.967963793581</v>
      </c>
      <c r="CP78" s="15">
        <v>103882.20670176181</v>
      </c>
      <c r="CQ78" s="15">
        <v>157869</v>
      </c>
      <c r="CR78" s="15">
        <v>229528.70670176181</v>
      </c>
      <c r="CS78" s="15">
        <v>132576</v>
      </c>
      <c r="CT78" s="15">
        <v>96952.706701761825</v>
      </c>
      <c r="CU78" s="15">
        <v>117497</v>
      </c>
      <c r="CV78" s="15">
        <v>523.45021238238587</v>
      </c>
      <c r="CW78" s="15">
        <v>350601</v>
      </c>
      <c r="CX78" s="15">
        <v>87205</v>
      </c>
      <c r="CY78" s="15">
        <v>2009</v>
      </c>
      <c r="CZ78" s="15">
        <v>10019</v>
      </c>
      <c r="DA78" s="19">
        <v>0</v>
      </c>
      <c r="DB78" s="19">
        <v>0</v>
      </c>
      <c r="DC78" s="19">
        <v>0.10201505608997685</v>
      </c>
      <c r="DD78" s="19">
        <v>0.15131879970975437</v>
      </c>
      <c r="DE78" s="19">
        <v>0.30099440256616672</v>
      </c>
      <c r="DF78" s="19">
        <v>0.27388077378029907</v>
      </c>
      <c r="DG78" s="19">
        <v>0.17179096785380321</v>
      </c>
      <c r="DH78" s="15">
        <v>71161.032036206438</v>
      </c>
      <c r="DI78" s="15">
        <v>3573387.8990163505</v>
      </c>
      <c r="DJ78" s="15">
        <v>2835398.89901635</v>
      </c>
      <c r="DK78" s="15">
        <v>3830932</v>
      </c>
      <c r="DL78" s="18">
        <v>7.8279474193156867E-2</v>
      </c>
      <c r="DM78" s="15">
        <v>2467473.0928211357</v>
      </c>
      <c r="DN78" s="15">
        <v>2128947.5158674745</v>
      </c>
      <c r="DO78" s="15">
        <v>108184.59983398565</v>
      </c>
      <c r="DP78" s="15">
        <v>167127.80779566438</v>
      </c>
      <c r="DQ78" s="15">
        <v>61434.722618660388</v>
      </c>
      <c r="DR78" s="15">
        <v>1778.4467053505093</v>
      </c>
      <c r="DS78" s="15">
        <v>2800382.0928211357</v>
      </c>
      <c r="DT78" s="18">
        <f t="shared" si="31"/>
        <v>8.2492433781167815E-2</v>
      </c>
      <c r="DU78" s="18">
        <f t="shared" si="32"/>
        <v>0.26225895637302754</v>
      </c>
      <c r="DV78" s="18">
        <f t="shared" si="33"/>
        <v>2.9684364596270864E-2</v>
      </c>
      <c r="DW78" s="18">
        <f t="shared" si="34"/>
        <v>-6.2411470212404327E-2</v>
      </c>
      <c r="DX78" s="18">
        <f t="shared" si="35"/>
        <v>0.10114219906731806</v>
      </c>
      <c r="DY78" s="18">
        <f t="shared" si="36"/>
        <v>0.396190807509051</v>
      </c>
      <c r="DZ78" s="18">
        <f t="shared" si="37"/>
        <v>-0.12011469630416753</v>
      </c>
      <c r="EA78" s="18">
        <f t="shared" si="38"/>
        <v>9.7887722450561099E-2</v>
      </c>
      <c r="EB78" s="18">
        <f t="shared" si="39"/>
        <v>0.21286968273917556</v>
      </c>
      <c r="EC78" s="18">
        <f t="shared" si="40"/>
        <v>0.70191037041830417</v>
      </c>
      <c r="ED78" s="18">
        <f t="shared" si="41"/>
        <v>5.5154248576996696E-2</v>
      </c>
      <c r="EE78" s="18">
        <f t="shared" si="42"/>
        <v>4.8895971646086875E-2</v>
      </c>
      <c r="EF78" s="18">
        <f t="shared" si="43"/>
        <v>2.161010885860494E-2</v>
      </c>
      <c r="EG78" s="18">
        <f t="shared" si="44"/>
        <v>5.7380015738125477E-2</v>
      </c>
      <c r="EH78" s="18">
        <f t="shared" si="45"/>
        <v>7.1794716547867871E-2</v>
      </c>
      <c r="EI78" s="18">
        <f t="shared" si="46"/>
        <v>1.9465369592342369E-2</v>
      </c>
      <c r="EJ78" s="18">
        <f t="shared" si="47"/>
        <v>9.2184443133321303E-2</v>
      </c>
      <c r="EK78" s="18">
        <f t="shared" si="48"/>
        <v>-4.9891775682784231E-2</v>
      </c>
      <c r="EL78" s="18">
        <f t="shared" si="49"/>
        <v>-2.5397214046085911E-2</v>
      </c>
      <c r="EM78" s="6">
        <v>1.9728061716489875</v>
      </c>
      <c r="EN78" s="6">
        <v>2.0609601321541531</v>
      </c>
      <c r="EO78" s="6">
        <v>2.1859068131706638</v>
      </c>
      <c r="EP78" s="6">
        <v>1.9923661141373317</v>
      </c>
      <c r="EQ78" s="14">
        <v>170555.8</v>
      </c>
      <c r="ER78" s="14">
        <v>29007.597000000002</v>
      </c>
      <c r="ES78" s="15">
        <v>240683</v>
      </c>
      <c r="ET78" s="15">
        <v>119281</v>
      </c>
      <c r="EU78" s="15">
        <v>3.35</v>
      </c>
      <c r="EV78" s="6">
        <v>42000</v>
      </c>
      <c r="EW78" s="6">
        <v>0.114</v>
      </c>
      <c r="EX78" s="16">
        <v>0.10396948640920423</v>
      </c>
      <c r="EY78" s="16">
        <f t="shared" si="23"/>
        <v>1.0030513590795778E-2</v>
      </c>
      <c r="EZ78" s="6">
        <v>2.9000000000000001E-2</v>
      </c>
      <c r="FA78" s="20">
        <v>2480</v>
      </c>
      <c r="FB78" s="20">
        <v>2480</v>
      </c>
      <c r="FC78" s="20">
        <v>3670</v>
      </c>
      <c r="GF78" s="17">
        <v>336</v>
      </c>
      <c r="GG78" s="17">
        <v>504</v>
      </c>
      <c r="GJ78" s="6">
        <v>0.25245055014760642</v>
      </c>
      <c r="GK78" s="6">
        <v>0.42240620296468223</v>
      </c>
      <c r="GL78" s="21">
        <v>156000</v>
      </c>
      <c r="GM78" s="21">
        <v>156000</v>
      </c>
    </row>
    <row r="79" spans="1:195" ht="15">
      <c r="A79" s="12">
        <v>1987</v>
      </c>
      <c r="B79" s="13">
        <v>0.94989222240400573</v>
      </c>
      <c r="C79" s="15">
        <f t="shared" si="27"/>
        <v>14025300.369592629</v>
      </c>
      <c r="D79" s="15">
        <v>954577.1711517463</v>
      </c>
      <c r="E79" s="15">
        <v>609190.23634281324</v>
      </c>
      <c r="F79" s="15">
        <v>2553729.7478976026</v>
      </c>
      <c r="G79" s="15">
        <v>326903.46154596325</v>
      </c>
      <c r="H79" s="15">
        <v>180342.49999999875</v>
      </c>
      <c r="I79" s="15">
        <v>1294606.4999999998</v>
      </c>
      <c r="J79" s="15">
        <v>887696.57344281219</v>
      </c>
      <c r="K79" s="15">
        <v>406909.9265571874</v>
      </c>
      <c r="L79" s="15">
        <v>189304.57579117577</v>
      </c>
      <c r="M79" s="15">
        <v>1385499.5000000002</v>
      </c>
      <c r="N79" s="15">
        <v>-1739018</v>
      </c>
      <c r="O79" s="15">
        <v>-392110.5</v>
      </c>
      <c r="P79" s="15">
        <v>5628538</v>
      </c>
      <c r="Q79" s="15">
        <v>340132.5</v>
      </c>
      <c r="R79" s="15">
        <v>2718915</v>
      </c>
      <c r="S79" s="15">
        <v>0.27880294587990245</v>
      </c>
      <c r="T79" s="15">
        <v>-854477.5</v>
      </c>
      <c r="U79" s="15">
        <v>437056.67686332925</v>
      </c>
      <c r="V79" s="15">
        <v>14588.11714544134</v>
      </c>
      <c r="W79" s="15">
        <v>3813.76877998071</v>
      </c>
      <c r="X79" s="15">
        <v>4645.7314142359337</v>
      </c>
      <c r="Y79" s="15">
        <v>984.33358340278323</v>
      </c>
      <c r="Z79" s="15">
        <v>984.33358340278323</v>
      </c>
      <c r="AA79" s="15">
        <v>4207594.8122609602</v>
      </c>
      <c r="AB79" s="15">
        <v>112702</v>
      </c>
      <c r="AC79" s="15">
        <v>73751.790054130106</v>
      </c>
      <c r="AD79" s="15">
        <v>54204.787283885358</v>
      </c>
      <c r="AE79" s="15">
        <v>-7332.0321458814069</v>
      </c>
      <c r="AF79" s="15">
        <v>71310</v>
      </c>
      <c r="AG79" s="15">
        <v>55111.999999999993</v>
      </c>
      <c r="AH79" s="15">
        <v>1114576.3574530939</v>
      </c>
      <c r="AI79" s="15">
        <v>288842</v>
      </c>
      <c r="AJ79" s="15">
        <v>202419.90848243021</v>
      </c>
      <c r="AK79" s="15">
        <v>86422.091517569788</v>
      </c>
      <c r="AL79" s="15">
        <f t="shared" si="28"/>
        <v>249640.26734256255</v>
      </c>
      <c r="AM79" s="15">
        <v>202696.17649631292</v>
      </c>
      <c r="AN79" s="15">
        <v>46944.090846249637</v>
      </c>
      <c r="AO79" s="15">
        <v>369550.43563985068</v>
      </c>
      <c r="AP79" s="15">
        <v>82910.704752317193</v>
      </c>
      <c r="AQ79" s="15">
        <v>29170.358732046356</v>
      </c>
      <c r="AR79" s="15">
        <f t="shared" si="25"/>
        <v>53740.346020270837</v>
      </c>
      <c r="AS79" s="15">
        <v>379602.19458035956</v>
      </c>
      <c r="AT79" s="15">
        <v>181099.85039654947</v>
      </c>
      <c r="AU79" s="15">
        <f t="shared" si="29"/>
        <v>198502.34418381008</v>
      </c>
      <c r="AV79" s="15">
        <v>-205714</v>
      </c>
      <c r="AW79" s="15">
        <v>-97128</v>
      </c>
      <c r="AX79" s="15">
        <v>3093018.4548078664</v>
      </c>
      <c r="AY79" s="15">
        <v>2722405</v>
      </c>
      <c r="AZ79" s="15">
        <v>223897.20994586998</v>
      </c>
      <c r="BA79" s="15">
        <v>28333.58088881661</v>
      </c>
      <c r="BB79" s="15">
        <f t="shared" si="26"/>
        <v>195563.62905705336</v>
      </c>
      <c r="BC79" s="15">
        <v>169666.21271611465</v>
      </c>
      <c r="BD79" s="15">
        <v>-22949.967854118593</v>
      </c>
      <c r="BE79" s="15">
        <f t="shared" si="30"/>
        <v>223871</v>
      </c>
      <c r="BF79" s="15">
        <v>2256267</v>
      </c>
      <c r="BG79" s="15">
        <v>466138.00000000035</v>
      </c>
      <c r="BH79" s="15">
        <v>189610.53363549834</v>
      </c>
      <c r="BI79" s="15">
        <v>18422.466364501652</v>
      </c>
      <c r="BJ79" s="15">
        <v>55430</v>
      </c>
      <c r="BK79" s="15">
        <v>26726</v>
      </c>
      <c r="BL79" s="15">
        <v>10241.275668027227</v>
      </c>
      <c r="BM79" s="15">
        <v>995.03731626278488</v>
      </c>
      <c r="BN79" s="15">
        <v>2995.6870157099879</v>
      </c>
      <c r="BO79" s="15">
        <v>3835335.2622814272</v>
      </c>
      <c r="BP79" s="15">
        <v>461263.60802377202</v>
      </c>
      <c r="BQ79" s="15">
        <v>300024.77528909466</v>
      </c>
      <c r="BR79" s="15">
        <v>352246.83333333331</v>
      </c>
      <c r="BS79" s="15">
        <v>36781.999999999985</v>
      </c>
      <c r="BT79" s="15">
        <v>212445.99999999997</v>
      </c>
      <c r="BU79" s="15">
        <v>14625</v>
      </c>
      <c r="BV79" s="15">
        <v>12947.999999999998</v>
      </c>
      <c r="BW79" s="15">
        <v>10607</v>
      </c>
      <c r="BX79" s="15">
        <v>7088.0000000000109</v>
      </c>
      <c r="BY79" s="15">
        <v>16463</v>
      </c>
      <c r="BZ79" s="15">
        <v>58567</v>
      </c>
      <c r="CA79" s="15">
        <v>16415</v>
      </c>
      <c r="CB79" s="15">
        <v>9573</v>
      </c>
      <c r="CC79" s="15">
        <v>81585</v>
      </c>
      <c r="CD79" s="15">
        <v>47836</v>
      </c>
      <c r="CE79" s="15">
        <v>21.040000000000003</v>
      </c>
      <c r="CF79" s="15">
        <v>20683</v>
      </c>
      <c r="CG79" s="15">
        <v>150103.99999999997</v>
      </c>
      <c r="CH79" s="15">
        <v>776893</v>
      </c>
      <c r="CI79" s="15">
        <v>215429</v>
      </c>
      <c r="CJ79" s="15">
        <v>22455.187739039931</v>
      </c>
      <c r="CK79" s="15">
        <v>131926</v>
      </c>
      <c r="CL79" s="15">
        <v>1286272</v>
      </c>
      <c r="CM79" s="15">
        <v>1002027</v>
      </c>
      <c r="CN79" s="15">
        <v>26904.000000000047</v>
      </c>
      <c r="CO79" s="15">
        <v>18924.312984290042</v>
      </c>
      <c r="CP79" s="15">
        <v>53310.461706148686</v>
      </c>
      <c r="CQ79" s="15">
        <v>166261</v>
      </c>
      <c r="CR79" s="15">
        <v>215268.29503948201</v>
      </c>
      <c r="CS79" s="15">
        <v>137941.99999999997</v>
      </c>
      <c r="CT79" s="15">
        <v>77326.295039482036</v>
      </c>
      <c r="CU79" s="15">
        <v>126087</v>
      </c>
      <c r="CV79" s="15">
        <v>46703.90681130618</v>
      </c>
      <c r="CW79" s="15">
        <v>392987</v>
      </c>
      <c r="CX79" s="15">
        <v>96600</v>
      </c>
      <c r="CY79" s="15">
        <v>1936</v>
      </c>
      <c r="CZ79" s="15">
        <v>10576</v>
      </c>
      <c r="DA79" s="19">
        <v>0</v>
      </c>
      <c r="DB79" s="19">
        <v>0</v>
      </c>
      <c r="DC79" s="19">
        <v>7.7305710665087846E-2</v>
      </c>
      <c r="DD79" s="19">
        <v>0.1481886957603149</v>
      </c>
      <c r="DE79" s="19">
        <v>0.309128129976665</v>
      </c>
      <c r="DF79" s="19">
        <v>0.28094053927512286</v>
      </c>
      <c r="DG79" s="19">
        <v>0.18443692432280959</v>
      </c>
      <c r="DH79" s="15">
        <v>77118.68701571002</v>
      </c>
      <c r="DI79" s="15">
        <v>3827367.5752657172</v>
      </c>
      <c r="DJ79" s="15">
        <v>3050474.5752657172</v>
      </c>
      <c r="DK79" s="15">
        <v>4098124.0000000009</v>
      </c>
      <c r="DL79" s="18">
        <v>7.6589322838326479E-2</v>
      </c>
      <c r="DM79" s="15">
        <v>2668944.414493544</v>
      </c>
      <c r="DN79" s="15">
        <v>2281061.3464917573</v>
      </c>
      <c r="DO79" s="15">
        <v>152859.12670013946</v>
      </c>
      <c r="DP79" s="15">
        <v>167620.42398709344</v>
      </c>
      <c r="DQ79" s="15">
        <v>66259.103834629204</v>
      </c>
      <c r="DR79" s="15">
        <v>1144.4134799244964</v>
      </c>
      <c r="DS79" s="15">
        <v>2806993.414493544</v>
      </c>
      <c r="DT79" s="18">
        <f t="shared" si="31"/>
        <v>8.1558449145438625E-2</v>
      </c>
      <c r="DU79" s="18">
        <f t="shared" si="32"/>
        <v>0.26168180709651206</v>
      </c>
      <c r="DV79" s="18">
        <f t="shared" si="33"/>
        <v>3.1162019018921287E-2</v>
      </c>
      <c r="DW79" s="18">
        <f t="shared" si="34"/>
        <v>-6.0924007150145523E-2</v>
      </c>
      <c r="DX79" s="18">
        <f t="shared" si="35"/>
        <v>9.8785727470323159E-2</v>
      </c>
      <c r="DY79" s="18">
        <f t="shared" si="36"/>
        <v>0.40131318771631291</v>
      </c>
      <c r="DZ79" s="18">
        <f t="shared" si="37"/>
        <v>-0.12399149780565523</v>
      </c>
      <c r="EA79" s="18">
        <f t="shared" si="38"/>
        <v>9.2305081950811871E-2</v>
      </c>
      <c r="EB79" s="18">
        <f t="shared" si="39"/>
        <v>0.2181092325574808</v>
      </c>
      <c r="EC79" s="18">
        <f t="shared" si="40"/>
        <v>0.70255995999872234</v>
      </c>
      <c r="ED79" s="18">
        <f t="shared" si="41"/>
        <v>5.7780240215322839E-2</v>
      </c>
      <c r="EE79" s="18">
        <f t="shared" si="42"/>
        <v>4.9393309836996191E-2</v>
      </c>
      <c r="EF79" s="18">
        <f t="shared" si="43"/>
        <v>2.1088208047772533E-2</v>
      </c>
      <c r="EG79" s="18">
        <f t="shared" si="44"/>
        <v>6.0915742750234619E-2</v>
      </c>
      <c r="EH79" s="18">
        <f t="shared" si="45"/>
        <v>6.3463092717275169E-2</v>
      </c>
      <c r="EI79" s="18">
        <f t="shared" si="46"/>
        <v>2.0231380200383682E-2</v>
      </c>
      <c r="EJ79" s="18">
        <f t="shared" si="47"/>
        <v>9.2628284205250863E-2</v>
      </c>
      <c r="EK79" s="18">
        <f t="shared" si="48"/>
        <v>-5.019711458218442E-2</v>
      </c>
      <c r="EL79" s="18">
        <f t="shared" si="49"/>
        <v>-2.3700600567479163E-2</v>
      </c>
      <c r="EM79" s="6">
        <v>1.925422580280842</v>
      </c>
      <c r="EN79" s="6">
        <v>2.008008165188035</v>
      </c>
      <c r="EO79" s="6">
        <v>2.1144637579236867</v>
      </c>
      <c r="EP79" s="6">
        <v>1.9326351274572933</v>
      </c>
      <c r="EQ79" s="14">
        <v>172551.6</v>
      </c>
      <c r="ER79" s="14">
        <v>29626.166000000001</v>
      </c>
      <c r="ES79" s="15">
        <v>242843</v>
      </c>
      <c r="ET79" s="15">
        <v>121620</v>
      </c>
      <c r="EU79" s="15">
        <v>3.35</v>
      </c>
      <c r="EV79" s="6">
        <v>43800</v>
      </c>
      <c r="EW79" s="6">
        <v>0.114</v>
      </c>
      <c r="EX79" s="16">
        <v>0.10390467298191543</v>
      </c>
      <c r="EY79" s="16">
        <f t="shared" si="23"/>
        <v>1.0095327018084577E-2</v>
      </c>
      <c r="EZ79" s="6">
        <v>2.9000000000000001E-2</v>
      </c>
      <c r="FA79" s="20">
        <v>2540</v>
      </c>
      <c r="FB79" s="20">
        <v>2540</v>
      </c>
      <c r="FC79" s="20">
        <v>3760</v>
      </c>
      <c r="GF79" s="17">
        <v>340</v>
      </c>
      <c r="GG79" s="17">
        <v>510</v>
      </c>
      <c r="GJ79" s="6">
        <v>0.20604934579561901</v>
      </c>
      <c r="GK79" s="6">
        <v>0.43185653000428398</v>
      </c>
      <c r="GL79" s="21">
        <v>220000</v>
      </c>
      <c r="GM79" s="21">
        <v>220000</v>
      </c>
    </row>
    <row r="80" spans="1:195" ht="15">
      <c r="A80" s="12">
        <v>1988</v>
      </c>
      <c r="B80" s="13">
        <v>0.95684475122119328</v>
      </c>
      <c r="C80" s="15">
        <f t="shared" si="27"/>
        <v>15197104.697402805</v>
      </c>
      <c r="D80" s="15">
        <v>974764.27511810581</v>
      </c>
      <c r="E80" s="15">
        <v>697477.56416236551</v>
      </c>
      <c r="F80" s="15">
        <v>2743030.717320363</v>
      </c>
      <c r="G80" s="15">
        <v>344655.6367121574</v>
      </c>
      <c r="H80" s="15">
        <v>205277.49999999904</v>
      </c>
      <c r="I80" s="15">
        <v>1353416.0000000002</v>
      </c>
      <c r="J80" s="15">
        <v>916722.55157198559</v>
      </c>
      <c r="K80" s="15">
        <v>436693.44842801458</v>
      </c>
      <c r="L80" s="15">
        <v>300861.5040898149</v>
      </c>
      <c r="M80" s="15">
        <v>1452046.5</v>
      </c>
      <c r="N80" s="15">
        <v>-1942152.9999999998</v>
      </c>
      <c r="O80" s="15">
        <v>-415078</v>
      </c>
      <c r="P80" s="15">
        <v>6167141.5</v>
      </c>
      <c r="Q80" s="15">
        <v>401532.5</v>
      </c>
      <c r="R80" s="15">
        <v>2958839.5</v>
      </c>
      <c r="S80" s="15">
        <v>0.26987225325736919</v>
      </c>
      <c r="T80" s="15">
        <v>-899124.5</v>
      </c>
      <c r="U80" s="15">
        <v>439339</v>
      </c>
      <c r="V80" s="15">
        <v>14718.093616106613</v>
      </c>
      <c r="W80" s="15">
        <v>3624.5069725708709</v>
      </c>
      <c r="X80" s="15">
        <v>4267.3249070286747</v>
      </c>
      <c r="Y80" s="15">
        <v>947.53955315284497</v>
      </c>
      <c r="Z80" s="15">
        <v>947.53955315284497</v>
      </c>
      <c r="AA80" s="15">
        <v>4593421.1862325128</v>
      </c>
      <c r="AB80" s="15">
        <v>124266</v>
      </c>
      <c r="AC80" s="15">
        <v>85049.214444899582</v>
      </c>
      <c r="AD80" s="15">
        <v>59964.529158851867</v>
      </c>
      <c r="AE80" s="15">
        <v>-7264.1970011920312</v>
      </c>
      <c r="AF80" s="15">
        <v>76347</v>
      </c>
      <c r="AG80" s="15">
        <v>60149.000000000015</v>
      </c>
      <c r="AH80" s="15">
        <v>1233949.7328350714</v>
      </c>
      <c r="AI80" s="15">
        <v>313829</v>
      </c>
      <c r="AJ80" s="15">
        <v>223221.3523256499</v>
      </c>
      <c r="AK80" s="15">
        <v>90607.647674350083</v>
      </c>
      <c r="AL80" s="15">
        <f t="shared" si="28"/>
        <v>286883.61368815874</v>
      </c>
      <c r="AM80" s="15">
        <v>213754.93356360437</v>
      </c>
      <c r="AN80" s="15">
        <v>73128.680124554376</v>
      </c>
      <c r="AO80" s="15">
        <v>391387.27203889907</v>
      </c>
      <c r="AP80" s="15">
        <v>95096.027471279463</v>
      </c>
      <c r="AQ80" s="15">
        <v>36829.568408173312</v>
      </c>
      <c r="AR80" s="15">
        <f t="shared" si="25"/>
        <v>58266.459063106151</v>
      </c>
      <c r="AS80" s="15">
        <v>415642.48747907445</v>
      </c>
      <c r="AT80" s="15">
        <v>198866.73141025682</v>
      </c>
      <c r="AU80" s="15">
        <f t="shared" si="29"/>
        <v>216775.75606881763</v>
      </c>
      <c r="AV80" s="15">
        <v>-220266</v>
      </c>
      <c r="AW80" s="15">
        <v>-101323.00000000001</v>
      </c>
      <c r="AX80" s="15">
        <v>3359471.4533974407</v>
      </c>
      <c r="AY80" s="15">
        <v>2947987</v>
      </c>
      <c r="AZ80" s="15">
        <v>250160.78555510045</v>
      </c>
      <c r="BA80" s="15">
        <v>37973.564392813016</v>
      </c>
      <c r="BB80" s="15">
        <f t="shared" si="26"/>
        <v>212187.22116228743</v>
      </c>
      <c r="BC80" s="15">
        <v>183560.47084114814</v>
      </c>
      <c r="BD80" s="15">
        <v>-22236.802998807969</v>
      </c>
      <c r="BE80" s="15">
        <f t="shared" si="30"/>
        <v>243525</v>
      </c>
      <c r="BF80" s="15">
        <v>2439783</v>
      </c>
      <c r="BG80" s="15">
        <v>508204.00000000017</v>
      </c>
      <c r="BH80" s="15">
        <v>215411.9155819173</v>
      </c>
      <c r="BI80" s="15">
        <v>20660.084418082719</v>
      </c>
      <c r="BJ80" s="15">
        <v>58873.999999999993</v>
      </c>
      <c r="BK80" s="15">
        <v>27832</v>
      </c>
      <c r="BL80" s="15">
        <v>11495.023288995637</v>
      </c>
      <c r="BM80" s="15">
        <v>1102.483819880262</v>
      </c>
      <c r="BN80" s="15">
        <v>3143.4928911241</v>
      </c>
      <c r="BO80" s="15">
        <v>4185881.2873372734</v>
      </c>
      <c r="BP80" s="15">
        <v>496319.39048607822</v>
      </c>
      <c r="BQ80" s="15">
        <v>325444.50840916141</v>
      </c>
      <c r="BR80" s="15">
        <v>377452</v>
      </c>
      <c r="BS80" s="15">
        <v>36771.999999999993</v>
      </c>
      <c r="BT80" s="15">
        <v>226008</v>
      </c>
      <c r="BU80" s="15">
        <v>13328</v>
      </c>
      <c r="BV80" s="15">
        <v>13785</v>
      </c>
      <c r="BW80" s="15">
        <v>11213</v>
      </c>
      <c r="BX80" s="15">
        <v>8060.9999999999964</v>
      </c>
      <c r="BY80" s="15">
        <v>16735</v>
      </c>
      <c r="BZ80" s="15">
        <v>64063</v>
      </c>
      <c r="CA80" s="15">
        <v>16890</v>
      </c>
      <c r="CB80" s="15">
        <v>10403</v>
      </c>
      <c r="CC80" s="15">
        <v>86289</v>
      </c>
      <c r="CD80" s="15">
        <v>53027</v>
      </c>
      <c r="CE80" s="15">
        <v>21.660000000000004</v>
      </c>
      <c r="CF80" s="15">
        <v>22006</v>
      </c>
      <c r="CG80" s="15">
        <v>161322</v>
      </c>
      <c r="CH80" s="15">
        <v>820454</v>
      </c>
      <c r="CI80" s="15">
        <v>231023</v>
      </c>
      <c r="CJ80" s="15">
        <v>22534.813767488096</v>
      </c>
      <c r="CK80" s="15">
        <v>144797.00000000003</v>
      </c>
      <c r="CL80" s="15">
        <v>1382822</v>
      </c>
      <c r="CM80" s="15">
        <v>1062574</v>
      </c>
      <c r="CN80" s="15">
        <v>51423.000000000226</v>
      </c>
      <c r="CO80" s="15">
        <v>37165.507108875878</v>
      </c>
      <c r="CP80" s="15">
        <v>44929.883377202263</v>
      </c>
      <c r="CQ80" s="15">
        <v>184633</v>
      </c>
      <c r="CR80" s="15">
        <v>219817.88337720226</v>
      </c>
      <c r="CS80" s="15">
        <v>141447</v>
      </c>
      <c r="CT80" s="15">
        <v>78370.883377202277</v>
      </c>
      <c r="CU80" s="15">
        <v>142039</v>
      </c>
      <c r="CV80" s="15">
        <v>59706.569156625337</v>
      </c>
      <c r="CW80" s="15">
        <v>403845</v>
      </c>
      <c r="CX80" s="15">
        <v>102094</v>
      </c>
      <c r="CY80" s="15">
        <v>3711</v>
      </c>
      <c r="CZ80" s="15">
        <v>11114</v>
      </c>
      <c r="DA80" s="19">
        <v>0</v>
      </c>
      <c r="DB80" s="19">
        <v>0</v>
      </c>
      <c r="DC80" s="19">
        <v>5.2596365240198728E-2</v>
      </c>
      <c r="DD80" s="19">
        <v>0.14505859181087566</v>
      </c>
      <c r="DE80" s="19">
        <v>0.31726185738716323</v>
      </c>
      <c r="DF80" s="19">
        <v>0.28800030476994665</v>
      </c>
      <c r="DG80" s="19">
        <v>0.19708288079181596</v>
      </c>
      <c r="DH80" s="15">
        <v>84980.492891124071</v>
      </c>
      <c r="DI80" s="15">
        <v>4171635.7944461498</v>
      </c>
      <c r="DJ80" s="15">
        <v>3351181.7944461498</v>
      </c>
      <c r="DK80" s="15">
        <v>4471159.0000000019</v>
      </c>
      <c r="DL80" s="18">
        <v>8.4585520383847493E-2</v>
      </c>
      <c r="DM80" s="15">
        <v>2956031.9753831429</v>
      </c>
      <c r="DN80" s="15">
        <v>2483828.464263571</v>
      </c>
      <c r="DO80" s="15">
        <v>204726.35421085573</v>
      </c>
      <c r="DP80" s="15">
        <v>186558.65024051335</v>
      </c>
      <c r="DQ80" s="15">
        <v>77154.915569942008</v>
      </c>
      <c r="DR80" s="15">
        <v>3763.5910982617988</v>
      </c>
      <c r="DS80" s="15">
        <v>3111659.9753831434</v>
      </c>
      <c r="DT80" s="18">
        <f t="shared" si="31"/>
        <v>8.3938737319216195E-2</v>
      </c>
      <c r="DU80" s="18">
        <f t="shared" si="32"/>
        <v>0.2625790568434298</v>
      </c>
      <c r="DV80" s="18">
        <f t="shared" si="33"/>
        <v>2.8909388251768992E-2</v>
      </c>
      <c r="DW80" s="18">
        <f t="shared" si="34"/>
        <v>-5.9164197253550606E-2</v>
      </c>
      <c r="DX80" s="18">
        <f t="shared" si="35"/>
        <v>9.5547574943545377E-2</v>
      </c>
      <c r="DY80" s="18">
        <f t="shared" si="36"/>
        <v>0.4058102923416701</v>
      </c>
      <c r="DZ80" s="18">
        <f t="shared" si="37"/>
        <v>-0.12779756662016778</v>
      </c>
      <c r="EA80" s="18">
        <f t="shared" si="38"/>
        <v>8.9057490025142738E-2</v>
      </c>
      <c r="EB80" s="18">
        <f t="shared" si="39"/>
        <v>0.22111922414894528</v>
      </c>
      <c r="EC80" s="18">
        <f t="shared" si="40"/>
        <v>0.69717701276194699</v>
      </c>
      <c r="ED80" s="18">
        <f t="shared" si="41"/>
        <v>5.9161166308904001E-2</v>
      </c>
      <c r="EE80" s="18">
        <f t="shared" si="42"/>
        <v>4.9924718026276814E-2</v>
      </c>
      <c r="EF80" s="18">
        <f t="shared" si="43"/>
        <v>2.0264912894922781E-2</v>
      </c>
      <c r="EG80" s="18">
        <f t="shared" si="44"/>
        <v>6.4163142864782627E-2</v>
      </c>
      <c r="EH80" s="18">
        <f t="shared" si="45"/>
        <v>6.019134765871377E-2</v>
      </c>
      <c r="EI80" s="18">
        <f t="shared" si="46"/>
        <v>2.1268764423559846E-2</v>
      </c>
      <c r="EJ80" s="18">
        <f t="shared" si="47"/>
        <v>9.2960793270620498E-2</v>
      </c>
      <c r="EK80" s="18">
        <f t="shared" si="48"/>
        <v>-4.9263736762660403E-2</v>
      </c>
      <c r="EL80" s="18">
        <f t="shared" si="49"/>
        <v>-2.2661462050443736E-2</v>
      </c>
      <c r="EM80" s="6">
        <v>1.8597505545252899</v>
      </c>
      <c r="EN80" s="6">
        <v>1.9377225547389954</v>
      </c>
      <c r="EO80" s="6">
        <v>2.0396154833069189</v>
      </c>
      <c r="EP80" s="6">
        <v>1.8599653695434246</v>
      </c>
      <c r="EQ80" s="14">
        <v>174344.4</v>
      </c>
      <c r="ER80" s="14">
        <v>30123.607</v>
      </c>
      <c r="ES80" s="15">
        <v>245061</v>
      </c>
      <c r="ET80" s="15">
        <v>123205</v>
      </c>
      <c r="EU80" s="15">
        <v>3.35</v>
      </c>
      <c r="EV80" s="6">
        <v>45000</v>
      </c>
      <c r="EW80" s="6">
        <v>0.1212</v>
      </c>
      <c r="EX80" s="16">
        <v>0.11059305706957358</v>
      </c>
      <c r="EY80" s="16">
        <f t="shared" si="23"/>
        <v>1.0606942930426425E-2</v>
      </c>
      <c r="EZ80" s="6">
        <v>2.9000000000000001E-2</v>
      </c>
      <c r="FA80" s="20">
        <v>3000</v>
      </c>
      <c r="FB80" s="20">
        <v>4400</v>
      </c>
      <c r="FC80" s="20">
        <v>5000</v>
      </c>
      <c r="GF80" s="17">
        <v>354</v>
      </c>
      <c r="GG80" s="17">
        <v>532</v>
      </c>
      <c r="GJ80" s="6">
        <v>0.22447713305866382</v>
      </c>
      <c r="GK80" s="6">
        <v>0.44059361769817779</v>
      </c>
      <c r="GL80" s="21">
        <v>220000</v>
      </c>
      <c r="GM80" s="21">
        <v>220000</v>
      </c>
    </row>
    <row r="81" spans="1:195" ht="15">
      <c r="A81" s="12">
        <v>1989</v>
      </c>
      <c r="B81" s="13">
        <v>0.96040267325957795</v>
      </c>
      <c r="C81" s="15">
        <f t="shared" si="27"/>
        <v>16666802.138303354</v>
      </c>
      <c r="D81" s="15">
        <v>1263044.5991801806</v>
      </c>
      <c r="E81" s="15">
        <v>752590.08036426955</v>
      </c>
      <c r="F81" s="15">
        <v>2935903.2023479212</v>
      </c>
      <c r="G81" s="15">
        <v>385757.44668027246</v>
      </c>
      <c r="H81" s="15">
        <v>223787.99999999904</v>
      </c>
      <c r="I81" s="15">
        <v>1410680.5</v>
      </c>
      <c r="J81" s="15">
        <v>945562.45406768785</v>
      </c>
      <c r="K81" s="15">
        <v>465118.04593231191</v>
      </c>
      <c r="L81" s="15">
        <v>336674.30973071052</v>
      </c>
      <c r="M81" s="15">
        <v>1526528.5</v>
      </c>
      <c r="N81" s="15">
        <v>-2157938</v>
      </c>
      <c r="O81" s="15">
        <v>-429698</v>
      </c>
      <c r="P81" s="15">
        <v>6721221.5</v>
      </c>
      <c r="Q81" s="15">
        <v>468647.5</v>
      </c>
      <c r="R81" s="15">
        <v>3319496.4999999995</v>
      </c>
      <c r="S81" s="15">
        <v>0.27379710005080238</v>
      </c>
      <c r="T81" s="15">
        <v>-959381</v>
      </c>
      <c r="U81" s="15">
        <v>439789</v>
      </c>
      <c r="V81" s="15">
        <v>13664.069252275183</v>
      </c>
      <c r="W81" s="15">
        <v>3568.7970623794781</v>
      </c>
      <c r="X81" s="15">
        <v>4058.9737991276397</v>
      </c>
      <c r="Y81" s="15">
        <v>894.73213031865782</v>
      </c>
      <c r="Z81" s="15">
        <v>894.73213031865782</v>
      </c>
      <c r="AA81" s="15">
        <v>4893644.8793237768</v>
      </c>
      <c r="AB81" s="15">
        <v>124422</v>
      </c>
      <c r="AC81" s="15">
        <v>89272.439750860751</v>
      </c>
      <c r="AD81" s="15">
        <v>63231.055278419517</v>
      </c>
      <c r="AE81" s="15">
        <v>-6767.6884757649987</v>
      </c>
      <c r="AF81" s="15">
        <v>83049.999999999985</v>
      </c>
      <c r="AG81" s="15">
        <v>66813</v>
      </c>
      <c r="AH81" s="15">
        <v>1320361.6858772915</v>
      </c>
      <c r="AI81" s="15">
        <v>335931</v>
      </c>
      <c r="AJ81" s="15">
        <v>242632.40531317113</v>
      </c>
      <c r="AK81" s="15">
        <v>93298.594686828903</v>
      </c>
      <c r="AL81" s="15">
        <f t="shared" si="28"/>
        <v>306662.90776978876</v>
      </c>
      <c r="AM81" s="15">
        <v>224164.37459170635</v>
      </c>
      <c r="AN81" s="15">
        <v>82498.533178082434</v>
      </c>
      <c r="AO81" s="15">
        <v>435266.74741106841</v>
      </c>
      <c r="AP81" s="15">
        <v>100425.83309053414</v>
      </c>
      <c r="AQ81" s="15">
        <v>39206.278270836403</v>
      </c>
      <c r="AR81" s="15">
        <f t="shared" si="25"/>
        <v>61219.55481969774</v>
      </c>
      <c r="AS81" s="15">
        <v>436810.8308032456</v>
      </c>
      <c r="AT81" s="15">
        <v>184078.56952527125</v>
      </c>
      <c r="AU81" s="15">
        <f t="shared" si="29"/>
        <v>252732.26127797435</v>
      </c>
      <c r="AV81" s="15">
        <v>-238141</v>
      </c>
      <c r="AW81" s="15">
        <v>-113058.00000000001</v>
      </c>
      <c r="AX81" s="15">
        <v>3573283.1934464849</v>
      </c>
      <c r="AY81" s="15">
        <v>3139601</v>
      </c>
      <c r="AZ81" s="15">
        <v>261311.56024913929</v>
      </c>
      <c r="BA81" s="15">
        <v>39228.452177688341</v>
      </c>
      <c r="BB81" s="15">
        <f t="shared" si="26"/>
        <v>222083.10807145096</v>
      </c>
      <c r="BC81" s="15">
        <v>193030.94472158054</v>
      </c>
      <c r="BD81" s="15">
        <v>-20660.311524235003</v>
      </c>
      <c r="BE81" s="15">
        <f t="shared" si="30"/>
        <v>256262.00000000006</v>
      </c>
      <c r="BF81" s="15">
        <v>2583052</v>
      </c>
      <c r="BG81" s="15">
        <v>556549</v>
      </c>
      <c r="BH81" s="15">
        <v>230185.77010572766</v>
      </c>
      <c r="BI81" s="15">
        <v>22076.229894272317</v>
      </c>
      <c r="BJ81" s="15">
        <v>62948</v>
      </c>
      <c r="BK81" s="15">
        <v>25295</v>
      </c>
      <c r="BL81" s="15">
        <v>12888.338366667465</v>
      </c>
      <c r="BM81" s="15">
        <v>1236.0708509784697</v>
      </c>
      <c r="BN81" s="15">
        <v>3527.5907823540651</v>
      </c>
      <c r="BO81" s="15">
        <v>4457420.0482159453</v>
      </c>
      <c r="BP81" s="15">
        <v>537713.88093256846</v>
      </c>
      <c r="BQ81" s="15">
        <v>340959.11684192973</v>
      </c>
      <c r="BR81" s="15">
        <v>403262.16666666663</v>
      </c>
      <c r="BS81" s="15">
        <v>39186.000000000036</v>
      </c>
      <c r="BT81" s="15">
        <v>239933.00000000003</v>
      </c>
      <c r="BU81" s="15">
        <v>14410</v>
      </c>
      <c r="BV81" s="15">
        <v>14980</v>
      </c>
      <c r="BW81" s="15">
        <v>12325</v>
      </c>
      <c r="BX81" s="15">
        <v>9055.9999999999909</v>
      </c>
      <c r="BY81" s="15">
        <v>17214</v>
      </c>
      <c r="BZ81" s="15">
        <v>70469</v>
      </c>
      <c r="CA81" s="15">
        <v>17485</v>
      </c>
      <c r="CB81" s="15">
        <v>10977</v>
      </c>
      <c r="CC81" s="15">
        <v>98175</v>
      </c>
      <c r="CD81" s="15">
        <v>60838</v>
      </c>
      <c r="CE81" s="15">
        <v>22.280000000000005</v>
      </c>
      <c r="CF81" s="15">
        <v>25175</v>
      </c>
      <c r="CG81" s="15">
        <v>184188.00000000003</v>
      </c>
      <c r="CH81" s="15">
        <v>881429</v>
      </c>
      <c r="CI81" s="15">
        <v>253079</v>
      </c>
      <c r="CJ81" s="15">
        <v>25693.120676223705</v>
      </c>
      <c r="CK81" s="15">
        <v>159695.00000000003</v>
      </c>
      <c r="CL81" s="15">
        <v>1495948</v>
      </c>
      <c r="CM81" s="15">
        <v>1153300</v>
      </c>
      <c r="CN81" s="15">
        <v>60889.000000000116</v>
      </c>
      <c r="CO81" s="15">
        <v>37338.409217645909</v>
      </c>
      <c r="CP81" s="15">
        <v>57927.305048255846</v>
      </c>
      <c r="CQ81" s="15">
        <v>193673</v>
      </c>
      <c r="CR81" s="15">
        <v>246032.47171492252</v>
      </c>
      <c r="CS81" s="15">
        <v>161804</v>
      </c>
      <c r="CT81" s="15">
        <v>84228.471714922503</v>
      </c>
      <c r="CU81" s="15">
        <v>158580</v>
      </c>
      <c r="CV81" s="15">
        <v>88249.586045222255</v>
      </c>
      <c r="CW81" s="15">
        <v>453095</v>
      </c>
      <c r="CX81" s="15">
        <v>114640</v>
      </c>
      <c r="CY81" s="15">
        <v>5646</v>
      </c>
      <c r="CZ81" s="15">
        <v>12435</v>
      </c>
      <c r="DA81" s="19">
        <v>0</v>
      </c>
      <c r="DB81" s="19">
        <v>0</v>
      </c>
      <c r="DC81" s="19">
        <v>5.5066543450812855E-2</v>
      </c>
      <c r="DD81" s="19">
        <v>0.15072757130890146</v>
      </c>
      <c r="DE81" s="19">
        <v>0.31147619082067468</v>
      </c>
      <c r="DF81" s="19">
        <v>0.28989598120504645</v>
      </c>
      <c r="DG81" s="19">
        <v>0.19283371321456474</v>
      </c>
      <c r="DH81" s="15">
        <v>93549.590782354033</v>
      </c>
      <c r="DI81" s="15">
        <v>4433881.4574335897</v>
      </c>
      <c r="DJ81" s="15">
        <v>3552452.4574335907</v>
      </c>
      <c r="DK81" s="15">
        <v>4759643.0000000009</v>
      </c>
      <c r="DL81" s="18">
        <v>7.1727323048935088E-2</v>
      </c>
      <c r="DM81" s="15">
        <v>3130386.7562474776</v>
      </c>
      <c r="DN81" s="15">
        <v>2604029.144631329</v>
      </c>
      <c r="DO81" s="15">
        <v>219461.20412295393</v>
      </c>
      <c r="DP81" s="15">
        <v>219749.17462735504</v>
      </c>
      <c r="DQ81" s="15">
        <v>81210.392152278073</v>
      </c>
      <c r="DR81" s="15">
        <v>5936.8407135612606</v>
      </c>
      <c r="DS81" s="15">
        <v>3277076.7562474776</v>
      </c>
      <c r="DT81" s="18">
        <f t="shared" si="31"/>
        <v>9.5982354361455149E-2</v>
      </c>
      <c r="DU81" s="18">
        <f t="shared" si="32"/>
        <v>0.25788022763615731</v>
      </c>
      <c r="DV81" s="18">
        <f t="shared" si="33"/>
        <v>2.6387125517575119E-2</v>
      </c>
      <c r="DW81" s="18">
        <f t="shared" si="34"/>
        <v>-5.7562392115711708E-2</v>
      </c>
      <c r="DX81" s="18">
        <f t="shared" si="35"/>
        <v>9.1590965521319706E-2</v>
      </c>
      <c r="DY81" s="18">
        <f t="shared" si="36"/>
        <v>0.40327001210108604</v>
      </c>
      <c r="DZ81" s="18">
        <f t="shared" si="37"/>
        <v>-0.12947522758674049</v>
      </c>
      <c r="EA81" s="18">
        <f t="shared" si="38"/>
        <v>8.4640142019685866E-2</v>
      </c>
      <c r="EB81" s="18">
        <f t="shared" si="39"/>
        <v>0.22728679254517295</v>
      </c>
      <c r="EC81" s="18">
        <f t="shared" si="40"/>
        <v>0.69706914434212208</v>
      </c>
      <c r="ED81" s="18">
        <f t="shared" si="41"/>
        <v>5.8017635269441051E-2</v>
      </c>
      <c r="EE81" s="18">
        <f t="shared" si="42"/>
        <v>5.0977017669848572E-2</v>
      </c>
      <c r="EF81" s="18">
        <f t="shared" si="43"/>
        <v>1.9602015253418981E-2</v>
      </c>
      <c r="EG81" s="18">
        <f t="shared" si="44"/>
        <v>6.4429812859869678E-2</v>
      </c>
      <c r="EH81" s="18">
        <f t="shared" si="45"/>
        <v>6.3295685850239619E-2</v>
      </c>
      <c r="EI81" s="18">
        <f t="shared" si="46"/>
        <v>2.1099446553141513E-2</v>
      </c>
      <c r="EJ81" s="18">
        <f t="shared" si="47"/>
        <v>9.1773864301008604E-2</v>
      </c>
      <c r="EK81" s="18">
        <f t="shared" si="48"/>
        <v>-5.0033374351815874E-2</v>
      </c>
      <c r="EL81" s="18">
        <f t="shared" si="49"/>
        <v>-2.3753462181932552E-2</v>
      </c>
      <c r="EM81" s="6">
        <v>1.7895694466313268</v>
      </c>
      <c r="EN81" s="6">
        <v>1.8603094939355918</v>
      </c>
      <c r="EO81" s="6">
        <v>1.9552623509114044</v>
      </c>
      <c r="EP81" s="6">
        <v>1.7821379298300761</v>
      </c>
      <c r="EQ81" s="14">
        <v>176060.2</v>
      </c>
      <c r="ER81" s="14">
        <v>30681.756000000001</v>
      </c>
      <c r="ES81" s="15">
        <v>247387</v>
      </c>
      <c r="ET81" s="15">
        <v>124999</v>
      </c>
      <c r="EU81" s="15">
        <v>3.35</v>
      </c>
      <c r="EV81" s="6">
        <v>48000</v>
      </c>
      <c r="EW81" s="6">
        <v>0.1212</v>
      </c>
      <c r="EX81" s="16">
        <v>0.11059341215408661</v>
      </c>
      <c r="EY81" s="16">
        <f t="shared" si="23"/>
        <v>1.0606587845913396E-2</v>
      </c>
      <c r="EZ81" s="6">
        <v>2.9000000000000001E-2</v>
      </c>
      <c r="FA81" s="20">
        <v>3100</v>
      </c>
      <c r="FB81" s="20">
        <v>4550</v>
      </c>
      <c r="FC81" s="20">
        <v>5200</v>
      </c>
      <c r="GF81" s="17">
        <v>368</v>
      </c>
      <c r="GG81" s="17">
        <v>553</v>
      </c>
      <c r="GI81" s="21">
        <v>93020.100999999995</v>
      </c>
      <c r="GJ81" s="6">
        <v>0.28723963842090716</v>
      </c>
      <c r="GK81" s="6">
        <v>0.43704189140983585</v>
      </c>
      <c r="GL81" s="21">
        <v>268474</v>
      </c>
      <c r="GM81" s="21">
        <v>268473.89267560834</v>
      </c>
    </row>
    <row r="82" spans="1:195" ht="15">
      <c r="A82" s="12">
        <v>1990</v>
      </c>
      <c r="B82" s="13">
        <v>0.95516357985804878</v>
      </c>
      <c r="C82" s="15">
        <f t="shared" si="27"/>
        <v>17582219.179322556</v>
      </c>
      <c r="D82" s="15">
        <v>1299927.602308373</v>
      </c>
      <c r="E82" s="15">
        <v>795079.55134749808</v>
      </c>
      <c r="F82" s="15">
        <v>3086110.3985148515</v>
      </c>
      <c r="G82" s="15">
        <v>442114.22797505604</v>
      </c>
      <c r="H82" s="15">
        <v>241776.00000000041</v>
      </c>
      <c r="I82" s="15">
        <v>1452175.0000000002</v>
      </c>
      <c r="J82" s="15">
        <v>960909.6789271594</v>
      </c>
      <c r="K82" s="15">
        <v>491265.32107284083</v>
      </c>
      <c r="L82" s="15">
        <v>353352.89917677548</v>
      </c>
      <c r="M82" s="15">
        <v>1593353.5</v>
      </c>
      <c r="N82" s="15">
        <v>-2375196.5</v>
      </c>
      <c r="O82" s="15">
        <v>-438478.5</v>
      </c>
      <c r="P82" s="15">
        <v>7070356.5</v>
      </c>
      <c r="Q82" s="15">
        <v>551585</v>
      </c>
      <c r="R82" s="15">
        <v>3635571.5</v>
      </c>
      <c r="S82" s="15">
        <v>0.27408355538563556</v>
      </c>
      <c r="T82" s="15">
        <v>-1004340.9999999999</v>
      </c>
      <c r="U82" s="15">
        <v>440354.5</v>
      </c>
      <c r="V82" s="15">
        <v>10698.150700156177</v>
      </c>
      <c r="W82" s="15">
        <v>3373.379269972806</v>
      </c>
      <c r="X82" s="15">
        <v>3704.3642785168822</v>
      </c>
      <c r="Y82" s="15">
        <v>814.09175337078068</v>
      </c>
      <c r="Z82" s="15">
        <v>814.09175337078068</v>
      </c>
      <c r="AA82" s="15">
        <v>5159905.3809570735</v>
      </c>
      <c r="AB82" s="15">
        <v>121816</v>
      </c>
      <c r="AC82" s="15">
        <v>92728.539296671952</v>
      </c>
      <c r="AD82" s="15">
        <v>64432.36354964901</v>
      </c>
      <c r="AE82" s="15">
        <v>-6509.6739025739653</v>
      </c>
      <c r="AF82" s="15">
        <v>88735</v>
      </c>
      <c r="AG82" s="15">
        <v>72797.999999999985</v>
      </c>
      <c r="AH82" s="15">
        <v>1366903.609900821</v>
      </c>
      <c r="AI82" s="15">
        <v>365479</v>
      </c>
      <c r="AJ82" s="15">
        <v>264137.10271225392</v>
      </c>
      <c r="AK82" s="15">
        <v>101341.89728774611</v>
      </c>
      <c r="AL82" s="15">
        <f t="shared" si="28"/>
        <v>305949.51450488903</v>
      </c>
      <c r="AM82" s="15">
        <v>219776.99701206628</v>
      </c>
      <c r="AN82" s="15">
        <v>86172.517492822764</v>
      </c>
      <c r="AO82" s="15">
        <v>443431.0060468365</v>
      </c>
      <c r="AP82" s="15">
        <v>104694.7140811045</v>
      </c>
      <c r="AQ82" s="15">
        <v>40850.967597347648</v>
      </c>
      <c r="AR82" s="15">
        <f t="shared" si="25"/>
        <v>63843.746483756848</v>
      </c>
      <c r="AS82" s="15">
        <v>463299.68562091602</v>
      </c>
      <c r="AT82" s="15">
        <v>194028.37309760612</v>
      </c>
      <c r="AU82" s="15">
        <f t="shared" si="29"/>
        <v>269271.3125233099</v>
      </c>
      <c r="AV82" s="15">
        <v>-255439.00000000003</v>
      </c>
      <c r="AW82" s="15">
        <v>-118434</v>
      </c>
      <c r="AX82" s="15">
        <v>3793001.7710562535</v>
      </c>
      <c r="AY82" s="15">
        <v>3340373</v>
      </c>
      <c r="AZ82" s="15">
        <v>270360.46070332802</v>
      </c>
      <c r="BA82" s="15">
        <v>39229.985418498778</v>
      </c>
      <c r="BB82" s="15">
        <f t="shared" si="26"/>
        <v>231130.47528482924</v>
      </c>
      <c r="BC82" s="15">
        <v>202752.63645035098</v>
      </c>
      <c r="BD82" s="15">
        <v>-20484.326097426034</v>
      </c>
      <c r="BE82" s="15">
        <f t="shared" si="30"/>
        <v>267185</v>
      </c>
      <c r="BF82" s="15">
        <v>2741199</v>
      </c>
      <c r="BG82" s="15">
        <v>599174</v>
      </c>
      <c r="BH82" s="15">
        <v>247297.89255482779</v>
      </c>
      <c r="BI82" s="15">
        <v>26395.107445172202</v>
      </c>
      <c r="BJ82" s="15">
        <v>66851</v>
      </c>
      <c r="BK82" s="15">
        <v>24523</v>
      </c>
      <c r="BL82" s="15">
        <v>13744.049048321298</v>
      </c>
      <c r="BM82" s="15">
        <v>1466.9581192719922</v>
      </c>
      <c r="BN82" s="15">
        <v>3721.9928324067096</v>
      </c>
      <c r="BO82" s="15">
        <v>4711911.6785772229</v>
      </c>
      <c r="BP82" s="15">
        <v>569417.2862202361</v>
      </c>
      <c r="BQ82" s="15">
        <v>360577.08282628079</v>
      </c>
      <c r="BR82" s="15">
        <v>436804.66666666669</v>
      </c>
      <c r="BS82" s="15">
        <v>45195.999999999971</v>
      </c>
      <c r="BT82" s="15">
        <v>257516.00000000003</v>
      </c>
      <c r="BU82" s="15">
        <v>18162</v>
      </c>
      <c r="BV82" s="15">
        <v>16669.999999999996</v>
      </c>
      <c r="BW82" s="15">
        <v>14741</v>
      </c>
      <c r="BX82" s="15">
        <v>11017.999999999989</v>
      </c>
      <c r="BY82" s="15">
        <v>17687</v>
      </c>
      <c r="BZ82" s="15">
        <v>79920.999999999985</v>
      </c>
      <c r="CA82" s="15">
        <v>19187</v>
      </c>
      <c r="CB82" s="15">
        <v>11992</v>
      </c>
      <c r="CC82" s="15">
        <v>107638</v>
      </c>
      <c r="CD82" s="15">
        <v>73144</v>
      </c>
      <c r="CE82" s="15">
        <v>22.9</v>
      </c>
      <c r="CF82" s="15">
        <v>26781</v>
      </c>
      <c r="CG82" s="15">
        <v>207563.00000000003</v>
      </c>
      <c r="CH82" s="15">
        <v>948186</v>
      </c>
      <c r="CI82" s="15">
        <v>274888</v>
      </c>
      <c r="CJ82" s="15">
        <v>28522.619042926042</v>
      </c>
      <c r="CK82" s="15">
        <v>175167.00000000003</v>
      </c>
      <c r="CL82" s="15">
        <v>1571065</v>
      </c>
      <c r="CM82" s="15">
        <v>1253357</v>
      </c>
      <c r="CN82" s="15">
        <v>15047.00000000024</v>
      </c>
      <c r="CO82" s="15">
        <v>37749.007167593278</v>
      </c>
      <c r="CP82" s="15">
        <v>49667.612385976041</v>
      </c>
      <c r="CQ82" s="15">
        <v>206451</v>
      </c>
      <c r="CR82" s="15">
        <v>255990.27905264273</v>
      </c>
      <c r="CS82" s="15">
        <v>168689.00000000003</v>
      </c>
      <c r="CT82" s="15">
        <v>87301.279052642698</v>
      </c>
      <c r="CU82" s="15">
        <v>176858</v>
      </c>
      <c r="CV82" s="15">
        <v>97596.062863348925</v>
      </c>
      <c r="CW82" s="15">
        <v>472109</v>
      </c>
      <c r="CX82" s="15">
        <v>122559</v>
      </c>
      <c r="CY82" s="15">
        <v>6313</v>
      </c>
      <c r="CZ82" s="15">
        <v>15755</v>
      </c>
      <c r="DA82" s="19">
        <v>0</v>
      </c>
      <c r="DB82" s="19">
        <v>0</v>
      </c>
      <c r="DC82" s="19">
        <v>5.753672166142676E-2</v>
      </c>
      <c r="DD82" s="19">
        <v>0.15639655080692727</v>
      </c>
      <c r="DE82" s="19">
        <v>0.30569052425418614</v>
      </c>
      <c r="DF82" s="19">
        <v>0.29179165764014631</v>
      </c>
      <c r="DG82" s="19">
        <v>0.18858454563731353</v>
      </c>
      <c r="DH82" s="15">
        <v>96680.99283240673</v>
      </c>
      <c r="DI82" s="15">
        <v>4734624.6857448155</v>
      </c>
      <c r="DJ82" s="15">
        <v>3786438.6857448164</v>
      </c>
      <c r="DK82" s="15">
        <v>5013260.9999999981</v>
      </c>
      <c r="DL82" s="18">
        <v>6.9568390277447864E-2</v>
      </c>
      <c r="DM82" s="15">
        <v>3327453.7223950801</v>
      </c>
      <c r="DN82" s="15">
        <v>2778912.7414232581</v>
      </c>
      <c r="DO82" s="15">
        <v>234282.25353130588</v>
      </c>
      <c r="DP82" s="15">
        <v>226438.53062846357</v>
      </c>
      <c r="DQ82" s="15">
        <v>79941.125583278845</v>
      </c>
      <c r="DR82" s="15">
        <v>7879.0712287740498</v>
      </c>
      <c r="DS82" s="15">
        <v>3440612.8273950801</v>
      </c>
      <c r="DT82" s="18">
        <f t="shared" si="31"/>
        <v>9.4031389588720246E-2</v>
      </c>
      <c r="DU82" s="18">
        <f t="shared" si="32"/>
        <v>0.25964186495901131</v>
      </c>
      <c r="DV82" s="18">
        <f t="shared" si="33"/>
        <v>2.5045444804707918E-2</v>
      </c>
      <c r="DW82" s="18">
        <f t="shared" si="34"/>
        <v>-5.7122538955784834E-2</v>
      </c>
      <c r="DX82" s="18">
        <f t="shared" si="35"/>
        <v>9.0623002918417267E-2</v>
      </c>
      <c r="DY82" s="18">
        <f t="shared" si="36"/>
        <v>0.40213106365520929</v>
      </c>
      <c r="DZ82" s="18">
        <f t="shared" si="37"/>
        <v>-0.13509082532615296</v>
      </c>
      <c r="EA82" s="18">
        <f t="shared" si="38"/>
        <v>8.2593385123296628E-2</v>
      </c>
      <c r="EB82" s="18">
        <f t="shared" si="39"/>
        <v>0.23814721323257509</v>
      </c>
      <c r="EC82" s="18">
        <f t="shared" si="40"/>
        <v>0.70372241767580546</v>
      </c>
      <c r="ED82" s="18">
        <f t="shared" si="41"/>
        <v>5.6957326936270473E-2</v>
      </c>
      <c r="EE82" s="18">
        <f t="shared" si="42"/>
        <v>5.2687682271530249E-2</v>
      </c>
      <c r="EF82" s="18">
        <f t="shared" si="43"/>
        <v>2.0214765855547146E-2</v>
      </c>
      <c r="EG82" s="18">
        <f t="shared" si="44"/>
        <v>6.1028044321827478E-2</v>
      </c>
      <c r="EH82" s="18">
        <f t="shared" si="45"/>
        <v>5.9200313945306789E-2</v>
      </c>
      <c r="EI82" s="18">
        <f t="shared" si="46"/>
        <v>2.0883555450455209E-2</v>
      </c>
      <c r="EJ82" s="18">
        <f t="shared" si="47"/>
        <v>9.2414834500122015E-2</v>
      </c>
      <c r="EK82" s="18">
        <f t="shared" si="48"/>
        <v>-5.095266334627304E-2</v>
      </c>
      <c r="EL82" s="18">
        <f t="shared" si="49"/>
        <v>-2.3624144045163425E-2</v>
      </c>
      <c r="EM82" s="6">
        <v>1.7247542448614834</v>
      </c>
      <c r="EN82" s="6">
        <v>1.787750109217999</v>
      </c>
      <c r="EO82" s="6">
        <v>1.8624367645550046</v>
      </c>
      <c r="EP82" s="6">
        <v>1.707185278126307</v>
      </c>
      <c r="EQ82" s="14">
        <v>178365</v>
      </c>
      <c r="ER82" s="14">
        <v>31247.278999999999</v>
      </c>
      <c r="ES82" s="15">
        <v>250181</v>
      </c>
      <c r="ET82" s="15">
        <v>127010</v>
      </c>
      <c r="EU82" s="15">
        <v>3.8</v>
      </c>
      <c r="EV82" s="6">
        <v>51300</v>
      </c>
      <c r="EW82" s="6">
        <v>0.124</v>
      </c>
      <c r="EX82" s="16">
        <v>0.1120413699904588</v>
      </c>
      <c r="EY82" s="16">
        <f t="shared" si="23"/>
        <v>1.1958630009541199E-2</v>
      </c>
      <c r="EZ82" s="6">
        <v>2.9000000000000001E-2</v>
      </c>
      <c r="FA82" s="20">
        <v>3250</v>
      </c>
      <c r="FB82" s="20">
        <v>4750</v>
      </c>
      <c r="FC82" s="20">
        <v>5450</v>
      </c>
      <c r="GF82" s="17">
        <v>386</v>
      </c>
      <c r="GG82" s="17">
        <v>579</v>
      </c>
      <c r="GI82" s="21">
        <v>93985.940333333332</v>
      </c>
      <c r="GJ82" s="6">
        <v>0.30681475814808545</v>
      </c>
      <c r="GK82" s="6">
        <v>0.43913615311866999</v>
      </c>
      <c r="GL82" s="21">
        <v>272655</v>
      </c>
      <c r="GM82" s="21">
        <v>272654.81423342117</v>
      </c>
    </row>
    <row r="83" spans="1:195" ht="15">
      <c r="A83" s="12">
        <v>1991</v>
      </c>
      <c r="B83" s="13">
        <v>0.95248562347593124</v>
      </c>
      <c r="C83" s="15">
        <f t="shared" si="27"/>
        <v>18464768.832884505</v>
      </c>
      <c r="D83" s="15">
        <v>1549897.5962465622</v>
      </c>
      <c r="E83" s="15">
        <v>853809.59260030522</v>
      </c>
      <c r="F83" s="15">
        <v>3124742.4996511401</v>
      </c>
      <c r="G83" s="15">
        <v>505197.84028420335</v>
      </c>
      <c r="H83" s="15">
        <v>256506.49999999849</v>
      </c>
      <c r="I83" s="15">
        <v>1442068.5000000002</v>
      </c>
      <c r="J83" s="15">
        <v>944218.18868686678</v>
      </c>
      <c r="K83" s="15">
        <v>497850.31131313363</v>
      </c>
      <c r="L83" s="15">
        <v>342572.80410229781</v>
      </c>
      <c r="M83" s="15">
        <v>1630793.5</v>
      </c>
      <c r="N83" s="15">
        <v>-2578845.5000000005</v>
      </c>
      <c r="O83" s="15">
        <v>-435915.99999999994</v>
      </c>
      <c r="P83" s="15">
        <v>7238490.5</v>
      </c>
      <c r="Q83" s="15">
        <v>660667.5</v>
      </c>
      <c r="R83" s="15">
        <v>3995683.5</v>
      </c>
      <c r="S83" s="15">
        <v>0.29027887561180155</v>
      </c>
      <c r="T83" s="15">
        <v>-1023593.0000000001</v>
      </c>
      <c r="U83" s="15">
        <v>466777</v>
      </c>
      <c r="V83" s="15">
        <v>8677.6535604041965</v>
      </c>
      <c r="W83" s="15">
        <v>3226.5956727610487</v>
      </c>
      <c r="X83" s="15">
        <v>3418.9957896682081</v>
      </c>
      <c r="Y83" s="15">
        <v>751.1112603759077</v>
      </c>
      <c r="Z83" s="15">
        <v>751.1112603759077</v>
      </c>
      <c r="AA83" s="15">
        <v>5330218.9316625828</v>
      </c>
      <c r="AB83" s="15">
        <v>117813</v>
      </c>
      <c r="AC83" s="15">
        <v>93428.465470137497</v>
      </c>
      <c r="AD83" s="15">
        <v>69344.100648530744</v>
      </c>
      <c r="AE83" s="15">
        <v>-6590.1805386111519</v>
      </c>
      <c r="AF83" s="15">
        <v>95393</v>
      </c>
      <c r="AG83" s="15">
        <v>80678</v>
      </c>
      <c r="AH83" s="15">
        <v>1411765.3172426396</v>
      </c>
      <c r="AI83" s="15">
        <v>390984.00000000006</v>
      </c>
      <c r="AJ83" s="15">
        <v>279571.330737404</v>
      </c>
      <c r="AK83" s="15">
        <v>111412.669262596</v>
      </c>
      <c r="AL83" s="15">
        <f t="shared" si="28"/>
        <v>323569.20462148334</v>
      </c>
      <c r="AM83" s="15">
        <v>239390.30456296806</v>
      </c>
      <c r="AN83" s="15">
        <v>84178.900058515283</v>
      </c>
      <c r="AO83" s="15">
        <v>429073.71168789366</v>
      </c>
      <c r="AP83" s="15">
        <v>106469.96954665765</v>
      </c>
      <c r="AQ83" s="15">
        <v>42480.979182132418</v>
      </c>
      <c r="AR83" s="15">
        <f t="shared" si="25"/>
        <v>63988.990364525234</v>
      </c>
      <c r="AS83" s="15">
        <v>481085.5112766854</v>
      </c>
      <c r="AT83" s="15">
        <v>208768.36746915148</v>
      </c>
      <c r="AU83" s="15">
        <f t="shared" si="29"/>
        <v>272317.1438075339</v>
      </c>
      <c r="AV83" s="15">
        <v>-262225</v>
      </c>
      <c r="AW83" s="15">
        <v>-119946</v>
      </c>
      <c r="AX83" s="15">
        <v>3918453.6144199427</v>
      </c>
      <c r="AY83" s="15">
        <v>3450516</v>
      </c>
      <c r="AZ83" s="15">
        <v>268941.53452986252</v>
      </c>
      <c r="BA83" s="15">
        <v>39261.826201648175</v>
      </c>
      <c r="BB83" s="15">
        <f t="shared" si="26"/>
        <v>229679.70832821436</v>
      </c>
      <c r="BC83" s="15">
        <v>219893.89935146933</v>
      </c>
      <c r="BD83" s="15">
        <v>-20897.819461388848</v>
      </c>
      <c r="BE83" s="15">
        <f t="shared" si="30"/>
        <v>289238.00000000006</v>
      </c>
      <c r="BF83" s="15">
        <v>2814478</v>
      </c>
      <c r="BG83" s="15">
        <v>636038</v>
      </c>
      <c r="BH83" s="15">
        <v>254196.22847764462</v>
      </c>
      <c r="BI83" s="15">
        <v>27173.771522355401</v>
      </c>
      <c r="BJ83" s="15">
        <v>73889</v>
      </c>
      <c r="BK83" s="15">
        <v>24738</v>
      </c>
      <c r="BL83" s="15">
        <v>15053.522634942534</v>
      </c>
      <c r="BM83" s="15">
        <v>1609.2330997133927</v>
      </c>
      <c r="BN83" s="15">
        <v>4402.2442653440785</v>
      </c>
      <c r="BO83" s="15">
        <v>4899733.3858454525</v>
      </c>
      <c r="BP83" s="15">
        <v>592646.58112501889</v>
      </c>
      <c r="BQ83" s="15">
        <v>375633.13135877799</v>
      </c>
      <c r="BR83" s="15">
        <v>480553.16666666669</v>
      </c>
      <c r="BS83" s="15">
        <v>57240.999999999985</v>
      </c>
      <c r="BT83" s="15">
        <v>278690</v>
      </c>
      <c r="BU83" s="15">
        <v>26787</v>
      </c>
      <c r="BV83" s="15">
        <v>18612</v>
      </c>
      <c r="BW83" s="15">
        <v>18264</v>
      </c>
      <c r="BX83" s="15">
        <v>11729.999999999975</v>
      </c>
      <c r="BY83" s="15">
        <v>18131</v>
      </c>
      <c r="BZ83" s="15">
        <v>90128.999999999956</v>
      </c>
      <c r="CA83" s="15">
        <v>21132</v>
      </c>
      <c r="CB83" s="15">
        <v>13216</v>
      </c>
      <c r="CC83" s="15">
        <v>117487</v>
      </c>
      <c r="CD83" s="15">
        <v>96911</v>
      </c>
      <c r="CE83" s="15">
        <v>25</v>
      </c>
      <c r="CF83" s="15">
        <v>28657.000000000004</v>
      </c>
      <c r="CG83" s="15">
        <v>243055</v>
      </c>
      <c r="CH83" s="15">
        <v>1004857</v>
      </c>
      <c r="CI83" s="15">
        <v>291248</v>
      </c>
      <c r="CJ83" s="15">
        <v>30096.06833741747</v>
      </c>
      <c r="CK83" s="15">
        <v>196436.99999999997</v>
      </c>
      <c r="CL83" s="15">
        <v>1617802.0000000002</v>
      </c>
      <c r="CM83" s="15">
        <v>1356172</v>
      </c>
      <c r="CN83" s="15">
        <v>-71322.000000000233</v>
      </c>
      <c r="CO83" s="15">
        <v>17293.755734655933</v>
      </c>
      <c r="CP83" s="15">
        <v>37558.658723696281</v>
      </c>
      <c r="CQ83" s="15">
        <v>215132</v>
      </c>
      <c r="CR83" s="15">
        <v>269875.82539036294</v>
      </c>
      <c r="CS83" s="15">
        <v>177895</v>
      </c>
      <c r="CT83" s="15">
        <v>91980.825390362937</v>
      </c>
      <c r="CU83" s="15">
        <v>192826</v>
      </c>
      <c r="CV83" s="15">
        <v>94203.348547238929</v>
      </c>
      <c r="CW83" s="15">
        <v>463590</v>
      </c>
      <c r="CX83" s="15">
        <v>125311</v>
      </c>
      <c r="CY83" s="15">
        <v>7175</v>
      </c>
      <c r="CZ83" s="15">
        <v>15597</v>
      </c>
      <c r="DA83" s="19">
        <v>0</v>
      </c>
      <c r="DB83" s="19">
        <v>0</v>
      </c>
      <c r="DC83" s="19">
        <v>6.0006899872040997E-2</v>
      </c>
      <c r="DD83" s="19">
        <v>0.16206553030495285</v>
      </c>
      <c r="DE83" s="19">
        <v>0.29990485768769765</v>
      </c>
      <c r="DF83" s="19">
        <v>0.29368733407524616</v>
      </c>
      <c r="DG83" s="19">
        <v>0.18433537806006234</v>
      </c>
      <c r="DH83" s="15">
        <v>107411.24426534415</v>
      </c>
      <c r="DI83" s="15">
        <v>4988362.1415801076</v>
      </c>
      <c r="DJ83" s="15">
        <v>3983505.1415801076</v>
      </c>
      <c r="DK83" s="15">
        <v>5163878.0000000009</v>
      </c>
      <c r="DL83" s="18">
        <v>8.5454772524186234E-2</v>
      </c>
      <c r="DM83" s="15">
        <v>3387468.4359324332</v>
      </c>
      <c r="DN83" s="15">
        <v>2861258.0747184209</v>
      </c>
      <c r="DO83" s="15">
        <v>231723.61014765917</v>
      </c>
      <c r="DP83" s="15">
        <v>208428.86787039644</v>
      </c>
      <c r="DQ83" s="15">
        <v>76921.540055182006</v>
      </c>
      <c r="DR83" s="15">
        <v>9136.3431407754179</v>
      </c>
      <c r="DS83" s="15">
        <v>3489027.4759324333</v>
      </c>
      <c r="DT83" s="18">
        <f t="shared" si="31"/>
        <v>0.10249087965718251</v>
      </c>
      <c r="DU83" s="18">
        <f t="shared" si="32"/>
        <v>0.25671896980879449</v>
      </c>
      <c r="DV83" s="18">
        <f t="shared" si="33"/>
        <v>2.5279330828594057E-2</v>
      </c>
      <c r="DW83" s="18">
        <f t="shared" si="34"/>
        <v>-5.5434920916911247E-2</v>
      </c>
      <c r="DX83" s="18">
        <f t="shared" si="35"/>
        <v>8.8319193961186607E-2</v>
      </c>
      <c r="DY83" s="18">
        <f t="shared" si="36"/>
        <v>0.39201630767826012</v>
      </c>
      <c r="DZ83" s="18">
        <f t="shared" si="37"/>
        <v>-0.13966302656371474</v>
      </c>
      <c r="EA83" s="18">
        <f t="shared" si="38"/>
        <v>7.8098378216995265E-2</v>
      </c>
      <c r="EB83" s="18">
        <f t="shared" si="39"/>
        <v>0.25217488732961302</v>
      </c>
      <c r="EC83" s="18">
        <f t="shared" si="40"/>
        <v>0.70770651570940057</v>
      </c>
      <c r="ED83" s="18">
        <f t="shared" si="41"/>
        <v>5.5160351765263058E-2</v>
      </c>
      <c r="EE83" s="18">
        <f t="shared" si="42"/>
        <v>5.4139801664060218E-2</v>
      </c>
      <c r="EF83" s="18">
        <f t="shared" si="43"/>
        <v>2.1575387579372707E-2</v>
      </c>
      <c r="EG83" s="18">
        <f t="shared" si="44"/>
        <v>6.2660117962020659E-2</v>
      </c>
      <c r="EH83" s="18">
        <f t="shared" si="45"/>
        <v>5.0878967323649223E-2</v>
      </c>
      <c r="EI83" s="18">
        <f t="shared" si="46"/>
        <v>2.0618219397642166E-2</v>
      </c>
      <c r="EJ83" s="18">
        <f t="shared" si="47"/>
        <v>9.3163609069905465E-2</v>
      </c>
      <c r="EK83" s="18">
        <f t="shared" si="48"/>
        <v>-5.0780634244263705E-2</v>
      </c>
      <c r="EL83" s="18">
        <f t="shared" si="49"/>
        <v>-2.3227891906044251E-2</v>
      </c>
      <c r="EM83" s="6">
        <v>1.6685969691532228</v>
      </c>
      <c r="EN83" s="6">
        <v>1.7249903046857875</v>
      </c>
      <c r="EO83" s="6">
        <v>1.7979643070789417</v>
      </c>
      <c r="EP83" s="6">
        <v>1.6519409460290737</v>
      </c>
      <c r="EQ83" s="14">
        <v>180978</v>
      </c>
      <c r="ER83" s="14">
        <v>31811.624</v>
      </c>
      <c r="ES83" s="15">
        <v>253530</v>
      </c>
      <c r="ET83" s="15">
        <v>129271</v>
      </c>
      <c r="EU83" s="15">
        <v>4.25</v>
      </c>
      <c r="EV83" s="6">
        <v>53400</v>
      </c>
      <c r="EW83" s="6">
        <v>0.124</v>
      </c>
      <c r="EX83" s="16">
        <v>0.11202449561512572</v>
      </c>
      <c r="EY83" s="16">
        <f t="shared" si="23"/>
        <v>1.1975504384874283E-2</v>
      </c>
      <c r="EZ83" s="6">
        <v>2.9000000000000001E-2</v>
      </c>
      <c r="FA83" s="20">
        <v>3400</v>
      </c>
      <c r="FB83" s="20">
        <v>5000</v>
      </c>
      <c r="FC83" s="20">
        <v>5700</v>
      </c>
      <c r="GF83" s="17">
        <v>407</v>
      </c>
      <c r="GG83" s="17">
        <v>610</v>
      </c>
      <c r="GI83" s="21">
        <v>94951.779666666669</v>
      </c>
      <c r="GJ83" s="6">
        <v>0.31126269527404654</v>
      </c>
      <c r="GK83" s="6">
        <v>0.43582180302305878</v>
      </c>
      <c r="GL83" s="21">
        <v>287178</v>
      </c>
      <c r="GM83" s="21">
        <v>287177.73606831924</v>
      </c>
    </row>
    <row r="84" spans="1:195" ht="15">
      <c r="A84" s="12">
        <v>1992</v>
      </c>
      <c r="B84" s="13">
        <v>0.9316157584365643</v>
      </c>
      <c r="C84" s="15">
        <f t="shared" si="27"/>
        <v>19582056.453252703</v>
      </c>
      <c r="D84" s="15">
        <v>1993636.1161540777</v>
      </c>
      <c r="E84" s="15">
        <v>880742.5408792292</v>
      </c>
      <c r="F84" s="15">
        <v>2983307.5645733462</v>
      </c>
      <c r="G84" s="15">
        <v>545277.31237347785</v>
      </c>
      <c r="H84" s="15">
        <v>270237.99999999779</v>
      </c>
      <c r="I84" s="15">
        <v>1395102</v>
      </c>
      <c r="J84" s="15">
        <v>907333.56571959914</v>
      </c>
      <c r="K84" s="15">
        <v>487768.4342804008</v>
      </c>
      <c r="L84" s="15">
        <v>417862.41927257605</v>
      </c>
      <c r="M84" s="15">
        <v>1645783</v>
      </c>
      <c r="N84" s="15">
        <v>-2754391.4999999995</v>
      </c>
      <c r="O84" s="15">
        <v>-422100.5</v>
      </c>
      <c r="P84" s="15">
        <v>7491394</v>
      </c>
      <c r="Q84" s="15">
        <v>771855</v>
      </c>
      <c r="R84" s="15">
        <v>4441219</v>
      </c>
      <c r="S84" s="15">
        <v>0.31731477574563194</v>
      </c>
      <c r="T84" s="15">
        <v>-1041849.0000000001</v>
      </c>
      <c r="U84" s="15">
        <v>541880</v>
      </c>
      <c r="V84" s="15">
        <v>12874.135561276984</v>
      </c>
      <c r="W84" s="15">
        <v>3617.9689295533935</v>
      </c>
      <c r="X84" s="15">
        <v>3697.0854834748438</v>
      </c>
      <c r="Y84" s="15">
        <v>859.16330742870764</v>
      </c>
      <c r="Z84" s="15">
        <v>859.16330742870764</v>
      </c>
      <c r="AA84" s="15">
        <v>5651370</v>
      </c>
      <c r="AB84" s="15">
        <v>131914</v>
      </c>
      <c r="AC84" s="15">
        <v>106884.05691684478</v>
      </c>
      <c r="AD84" s="15">
        <v>72770.828176233976</v>
      </c>
      <c r="AE84" s="15">
        <v>-7082.6214515917591</v>
      </c>
      <c r="AF84" s="15">
        <v>98771</v>
      </c>
      <c r="AG84" s="15">
        <v>85907</v>
      </c>
      <c r="AH84" s="15">
        <v>1471520.2636414869</v>
      </c>
      <c r="AI84" s="15">
        <v>415556.99999999994</v>
      </c>
      <c r="AJ84" s="15">
        <v>295075.562483822</v>
      </c>
      <c r="AK84" s="15">
        <v>120481.43751617802</v>
      </c>
      <c r="AL84" s="15">
        <f t="shared" si="28"/>
        <v>358728.64832122251</v>
      </c>
      <c r="AM84" s="15">
        <v>258493.21194576129</v>
      </c>
      <c r="AN84" s="15">
        <v>100235.4363754612</v>
      </c>
      <c r="AO84" s="15">
        <v>398817.33311319014</v>
      </c>
      <c r="AP84" s="15">
        <v>120524.58020189733</v>
      </c>
      <c r="AQ84" s="15">
        <v>51543.726075868821</v>
      </c>
      <c r="AR84" s="15">
        <f t="shared" si="25"/>
        <v>68980.854126028513</v>
      </c>
      <c r="AS84" s="15">
        <v>486310.4952805349</v>
      </c>
      <c r="AT84" s="15">
        <v>214480.31343860598</v>
      </c>
      <c r="AU84" s="15">
        <f t="shared" si="29"/>
        <v>271830.18184192892</v>
      </c>
      <c r="AV84" s="15">
        <v>-257956.00000000003</v>
      </c>
      <c r="AW84" s="15">
        <v>-116150.00000000001</v>
      </c>
      <c r="AX84" s="15">
        <v>4179849.7363585141</v>
      </c>
      <c r="AY84" s="15">
        <v>3668246.0000000005</v>
      </c>
      <c r="AZ84" s="15">
        <v>298238.94308315526</v>
      </c>
      <c r="BA84" s="15">
        <v>49728.269821131194</v>
      </c>
      <c r="BB84" s="15">
        <f t="shared" si="26"/>
        <v>248510.67326202407</v>
      </c>
      <c r="BC84" s="15">
        <v>236370.17182376602</v>
      </c>
      <c r="BD84" s="15">
        <v>-23005.37854840824</v>
      </c>
      <c r="BE84" s="15">
        <f t="shared" si="30"/>
        <v>309141</v>
      </c>
      <c r="BF84" s="15">
        <v>2965542</v>
      </c>
      <c r="BG84" s="15">
        <v>702704.00000000023</v>
      </c>
      <c r="BH84" s="15">
        <v>265530.11327422259</v>
      </c>
      <c r="BI84" s="15">
        <v>28474.886725777433</v>
      </c>
      <c r="BJ84" s="15">
        <v>77692</v>
      </c>
      <c r="BK84" s="15">
        <v>28804</v>
      </c>
      <c r="BL84" s="15">
        <v>15998.188625751996</v>
      </c>
      <c r="BM84" s="15">
        <v>1715.6118502666761</v>
      </c>
      <c r="BN84" s="15">
        <v>4721.199523981325</v>
      </c>
      <c r="BO84" s="15">
        <v>5210753.3489428619</v>
      </c>
      <c r="BP84" s="15">
        <v>643032.09720410185</v>
      </c>
      <c r="BQ84" s="15">
        <v>382480.38718636928</v>
      </c>
      <c r="BR84" s="15">
        <v>511229.83333333331</v>
      </c>
      <c r="BS84" s="15">
        <v>73665.999999999942</v>
      </c>
      <c r="BT84" s="15">
        <v>297053</v>
      </c>
      <c r="BU84" s="15">
        <v>39617</v>
      </c>
      <c r="BV84" s="15">
        <v>22328.000000000004</v>
      </c>
      <c r="BW84" s="15">
        <v>21295</v>
      </c>
      <c r="BX84" s="15">
        <v>12337.000000000005</v>
      </c>
      <c r="BY84" s="15">
        <v>18620</v>
      </c>
      <c r="BZ84" s="15">
        <v>103139.00000000003</v>
      </c>
      <c r="CA84" s="15">
        <v>22242</v>
      </c>
      <c r="CB84" s="15">
        <v>14388.000000000002</v>
      </c>
      <c r="CC84" s="15">
        <v>132596</v>
      </c>
      <c r="CD84" s="15">
        <v>116248</v>
      </c>
      <c r="CE84" s="15">
        <v>27.1</v>
      </c>
      <c r="CF84" s="15">
        <v>30716</v>
      </c>
      <c r="CG84" s="15">
        <v>279560</v>
      </c>
      <c r="CH84" s="15">
        <v>1048383</v>
      </c>
      <c r="CI84" s="15">
        <v>308521</v>
      </c>
      <c r="CJ84" s="15">
        <v>33276.999999999949</v>
      </c>
      <c r="CK84" s="15">
        <v>209721.99999999997</v>
      </c>
      <c r="CL84" s="15">
        <v>1709281</v>
      </c>
      <c r="CM84" s="15">
        <v>1449702</v>
      </c>
      <c r="CN84" s="15">
        <v>-107165.00000000001</v>
      </c>
      <c r="CO84" s="15">
        <v>3852.8004760186718</v>
      </c>
      <c r="CP84" s="15">
        <v>54283.463394749902</v>
      </c>
      <c r="CQ84" s="15">
        <v>228398</v>
      </c>
      <c r="CR84" s="15">
        <v>302509.29672808322</v>
      </c>
      <c r="CS84" s="15">
        <v>200611</v>
      </c>
      <c r="CT84" s="15">
        <v>101898.29672808319</v>
      </c>
      <c r="CU84" s="15">
        <v>215723</v>
      </c>
      <c r="CV84" s="15">
        <v>109753.25413680676</v>
      </c>
      <c r="CW84" s="15">
        <v>477497</v>
      </c>
      <c r="CX84" s="15">
        <v>135305</v>
      </c>
      <c r="CY84" s="15">
        <v>10549</v>
      </c>
      <c r="CZ84" s="15">
        <v>15795</v>
      </c>
      <c r="DA84" s="19">
        <v>0</v>
      </c>
      <c r="DB84" s="19">
        <v>0</v>
      </c>
      <c r="DC84" s="19">
        <v>6.2477078082655124E-2</v>
      </c>
      <c r="DD84" s="19">
        <v>0.16773450980297866</v>
      </c>
      <c r="DE84" s="19">
        <v>0.2941191911212091</v>
      </c>
      <c r="DF84" s="19">
        <v>0.29558301051034597</v>
      </c>
      <c r="DG84" s="19">
        <v>0.18008621048281112</v>
      </c>
      <c r="DH84" s="15">
        <v>114428.19952398137</v>
      </c>
      <c r="DI84" s="15">
        <v>5321785.1494188802</v>
      </c>
      <c r="DJ84" s="15">
        <v>4273402.1494188802</v>
      </c>
      <c r="DK84" s="15">
        <v>5474925</v>
      </c>
      <c r="DL84" s="18">
        <v>8.5526681043047337E-2</v>
      </c>
      <c r="DM84" s="15">
        <v>3545787.1496270443</v>
      </c>
      <c r="DN84" s="15">
        <v>3011921.4103386523</v>
      </c>
      <c r="DO84" s="15">
        <v>281063.52478512091</v>
      </c>
      <c r="DP84" s="15">
        <v>161652.53901066113</v>
      </c>
      <c r="DQ84" s="15">
        <v>77594.572940901562</v>
      </c>
      <c r="DR84" s="15">
        <v>13555.102551709226</v>
      </c>
      <c r="DS84" s="15">
        <v>3662180.9176270445</v>
      </c>
      <c r="DT84" s="18">
        <f t="shared" si="31"/>
        <v>0.1231483803135543</v>
      </c>
      <c r="DU84" s="18">
        <f t="shared" si="32"/>
        <v>0.23897211352634751</v>
      </c>
      <c r="DV84" s="18">
        <f t="shared" si="33"/>
        <v>2.7672272383322146E-2</v>
      </c>
      <c r="DW84" s="18">
        <f t="shared" si="34"/>
        <v>-5.3204269045345462E-2</v>
      </c>
      <c r="DX84" s="18">
        <f t="shared" si="35"/>
        <v>8.4045462943531907E-2</v>
      </c>
      <c r="DY84" s="18">
        <f t="shared" si="36"/>
        <v>0.38256421218495834</v>
      </c>
      <c r="DZ84" s="18">
        <f t="shared" si="37"/>
        <v>-0.14065895002271214</v>
      </c>
      <c r="EA84" s="18">
        <f t="shared" si="38"/>
        <v>7.1243896335936918E-2</v>
      </c>
      <c r="EB84" s="18">
        <f t="shared" si="39"/>
        <v>0.26621688138040656</v>
      </c>
      <c r="EC84" s="18">
        <f t="shared" si="40"/>
        <v>0.70993548984854038</v>
      </c>
      <c r="ED84" s="18">
        <f t="shared" si="41"/>
        <v>5.7719795823303777E-2</v>
      </c>
      <c r="EE84" s="18">
        <f t="shared" si="42"/>
        <v>5.3895818204600425E-2</v>
      </c>
      <c r="EF84" s="18">
        <f t="shared" si="43"/>
        <v>2.2006043464737512E-2</v>
      </c>
      <c r="EG84" s="18">
        <f t="shared" si="44"/>
        <v>6.5522111868422397E-2</v>
      </c>
      <c r="EH84" s="18">
        <f t="shared" si="45"/>
        <v>4.061650764406638E-2</v>
      </c>
      <c r="EI84" s="18">
        <f t="shared" si="46"/>
        <v>2.2013923515280545E-2</v>
      </c>
      <c r="EJ84" s="18">
        <f t="shared" si="47"/>
        <v>8.8825051535963484E-2</v>
      </c>
      <c r="EK84" s="18">
        <f t="shared" si="48"/>
        <v>-4.7115896564793133E-2</v>
      </c>
      <c r="EL84" s="18">
        <f t="shared" si="49"/>
        <v>-2.1214902487248687E-2</v>
      </c>
      <c r="EM84" s="6">
        <v>1.6313934387011373</v>
      </c>
      <c r="EN84" s="6">
        <v>1.681110837236053</v>
      </c>
      <c r="EO84" s="6">
        <v>1.7535067968706177</v>
      </c>
      <c r="EP84" s="6">
        <v>1.6090665405234941</v>
      </c>
      <c r="EQ84" s="14">
        <v>183443</v>
      </c>
      <c r="ER84" s="14">
        <v>32355.993999999999</v>
      </c>
      <c r="ES84" s="15">
        <v>256922.00000000003</v>
      </c>
      <c r="ET84" s="15">
        <v>131697</v>
      </c>
      <c r="EU84" s="15">
        <v>4.25</v>
      </c>
      <c r="EV84" s="6">
        <v>55500</v>
      </c>
      <c r="EW84" s="6">
        <v>0.124</v>
      </c>
      <c r="EX84" s="16">
        <v>0.11199038807504498</v>
      </c>
      <c r="EY84" s="16">
        <f t="shared" si="23"/>
        <v>1.2009611924955019E-2</v>
      </c>
      <c r="EZ84" s="6">
        <v>2.9000000000000001E-2</v>
      </c>
      <c r="FA84" s="20">
        <v>3600</v>
      </c>
      <c r="FB84" s="20">
        <v>5250</v>
      </c>
      <c r="FC84" s="20">
        <v>6000</v>
      </c>
      <c r="GF84" s="17">
        <v>422</v>
      </c>
      <c r="GG84" s="17">
        <v>633</v>
      </c>
      <c r="GI84" s="21">
        <v>95917.619000000006</v>
      </c>
      <c r="GJ84" s="6">
        <v>0.29708319282922224</v>
      </c>
      <c r="GK84" s="6">
        <v>0.4249395377544094</v>
      </c>
      <c r="GL84" s="21">
        <v>300538</v>
      </c>
      <c r="GM84" s="21">
        <v>300538.41148967948</v>
      </c>
    </row>
    <row r="85" spans="1:195" ht="15">
      <c r="A85" s="12">
        <v>1993</v>
      </c>
      <c r="B85" s="13">
        <v>0.92886527777631989</v>
      </c>
      <c r="C85" s="15">
        <f t="shared" si="27"/>
        <v>20655448.696923397</v>
      </c>
      <c r="D85" s="15">
        <v>2312114.0340536968</v>
      </c>
      <c r="E85" s="15">
        <v>903788.72385310614</v>
      </c>
      <c r="F85" s="15">
        <v>2887839.2281055902</v>
      </c>
      <c r="G85" s="15">
        <v>574047.17307029129</v>
      </c>
      <c r="H85" s="15">
        <v>251005.59999999843</v>
      </c>
      <c r="I85" s="15">
        <v>1410855</v>
      </c>
      <c r="J85" s="15">
        <v>910068.87510254211</v>
      </c>
      <c r="K85" s="15">
        <v>500786.12489745795</v>
      </c>
      <c r="L85" s="15">
        <v>438336.43784071296</v>
      </c>
      <c r="M85" s="15">
        <v>1698855.5000000002</v>
      </c>
      <c r="N85" s="15">
        <v>-2920289.5</v>
      </c>
      <c r="O85" s="15">
        <v>-412311.00000000006</v>
      </c>
      <c r="P85" s="15">
        <v>7829472.5</v>
      </c>
      <c r="Q85" s="15">
        <v>870467.5</v>
      </c>
      <c r="R85" s="15">
        <v>4868529.5000000009</v>
      </c>
      <c r="S85" s="15">
        <v>0.33736786569663951</v>
      </c>
      <c r="T85" s="15">
        <v>-1090929.5000000002</v>
      </c>
      <c r="U85" s="15">
        <v>621356.5</v>
      </c>
      <c r="V85" s="15">
        <v>16636.682646369383</v>
      </c>
      <c r="W85" s="15">
        <v>4077.3947843130659</v>
      </c>
      <c r="X85" s="15">
        <v>4015.4636271723466</v>
      </c>
      <c r="Y85" s="15">
        <v>1029.6998457399809</v>
      </c>
      <c r="Z85" s="15">
        <v>1029.6998457399809</v>
      </c>
      <c r="AA85" s="15">
        <v>5910335.0000000009</v>
      </c>
      <c r="AB85" s="15">
        <v>155047</v>
      </c>
      <c r="AC85" s="15">
        <v>112698.56404906494</v>
      </c>
      <c r="AD85" s="15">
        <v>78273.314505400718</v>
      </c>
      <c r="AE85" s="15">
        <v>-8772.2341020675431</v>
      </c>
      <c r="AF85" s="15">
        <v>98834.000000000015</v>
      </c>
      <c r="AG85" s="15">
        <v>88424</v>
      </c>
      <c r="AH85" s="15">
        <v>1555927.6444523982</v>
      </c>
      <c r="AI85" s="15">
        <v>441655</v>
      </c>
      <c r="AJ85" s="15">
        <v>319062.01956706267</v>
      </c>
      <c r="AK85" s="15">
        <v>122592.98043293726</v>
      </c>
      <c r="AL85" s="15">
        <f t="shared" si="28"/>
        <v>385229.96577579493</v>
      </c>
      <c r="AM85" s="15">
        <v>280064.80595157377</v>
      </c>
      <c r="AN85" s="15">
        <v>105165.15982422118</v>
      </c>
      <c r="AO85" s="15">
        <v>382974.49397393531</v>
      </c>
      <c r="AP85" s="15">
        <v>126556.59440149034</v>
      </c>
      <c r="AQ85" s="15">
        <v>53397.787097147542</v>
      </c>
      <c r="AR85" s="15">
        <f t="shared" si="25"/>
        <v>73158.807304342801</v>
      </c>
      <c r="AS85" s="15">
        <v>512566.50989784452</v>
      </c>
      <c r="AT85" s="15">
        <v>234524.92118395297</v>
      </c>
      <c r="AU85" s="15">
        <f t="shared" si="29"/>
        <v>278041.58871389157</v>
      </c>
      <c r="AV85" s="15">
        <v>-248656</v>
      </c>
      <c r="AW85" s="15">
        <v>-113899.99999999999</v>
      </c>
      <c r="AX85" s="15">
        <v>4354407.3555476023</v>
      </c>
      <c r="AY85" s="15">
        <v>3817290.0000000005</v>
      </c>
      <c r="AZ85" s="15">
        <v>316000.43595093506</v>
      </c>
      <c r="BA85" s="15">
        <v>51138.424203070994</v>
      </c>
      <c r="BB85" s="15">
        <f t="shared" si="26"/>
        <v>264862.01174786408</v>
      </c>
      <c r="BC85" s="15">
        <v>249025.68549459922</v>
      </c>
      <c r="BD85" s="15">
        <v>-27908.765897932455</v>
      </c>
      <c r="BE85" s="15">
        <f t="shared" si="30"/>
        <v>327298.99999999994</v>
      </c>
      <c r="BF85" s="15">
        <v>3079341</v>
      </c>
      <c r="BG85" s="15">
        <v>737949.00000000012</v>
      </c>
      <c r="BH85" s="15">
        <v>276345.54867767746</v>
      </c>
      <c r="BI85" s="15">
        <v>29625.451322322519</v>
      </c>
      <c r="BJ85" s="15">
        <v>81280</v>
      </c>
      <c r="BK85" s="15">
        <v>31313</v>
      </c>
      <c r="BL85" s="15">
        <v>16799.998489696914</v>
      </c>
      <c r="BM85" s="15">
        <v>1801.0333072240701</v>
      </c>
      <c r="BN85" s="15">
        <v>4989.96820307902</v>
      </c>
      <c r="BO85" s="15">
        <v>5442917.1667171922</v>
      </c>
      <c r="BP85" s="15">
        <v>669927.25686272432</v>
      </c>
      <c r="BQ85" s="15">
        <v>403228.57642008521</v>
      </c>
      <c r="BR85" s="15">
        <v>533959.00000000012</v>
      </c>
      <c r="BS85" s="15">
        <v>71779</v>
      </c>
      <c r="BT85" s="15">
        <v>312947</v>
      </c>
      <c r="BU85" s="15">
        <v>34848</v>
      </c>
      <c r="BV85" s="15">
        <v>24653.000000000004</v>
      </c>
      <c r="BW85" s="15">
        <v>22211</v>
      </c>
      <c r="BX85" s="15">
        <v>12654.000000000007</v>
      </c>
      <c r="BY85" s="15">
        <v>19307</v>
      </c>
      <c r="BZ85" s="15">
        <v>109279.00000000001</v>
      </c>
      <c r="CA85" s="15">
        <v>22826</v>
      </c>
      <c r="CB85" s="15">
        <v>15286</v>
      </c>
      <c r="CC85" s="15">
        <v>146785</v>
      </c>
      <c r="CD85" s="15">
        <v>130104.00000000001</v>
      </c>
      <c r="CE85" s="15">
        <v>29.200000000000003</v>
      </c>
      <c r="CF85" s="15">
        <v>31877</v>
      </c>
      <c r="CG85" s="15">
        <v>308766</v>
      </c>
      <c r="CH85" s="15">
        <v>1073040</v>
      </c>
      <c r="CI85" s="15">
        <v>325963</v>
      </c>
      <c r="CJ85" s="15">
        <v>33607</v>
      </c>
      <c r="CK85" s="15">
        <v>214036.00000000006</v>
      </c>
      <c r="CL85" s="15">
        <v>1813419.9999999998</v>
      </c>
      <c r="CM85" s="15">
        <v>1510392</v>
      </c>
      <c r="CN85" s="15">
        <v>-81434.999999999927</v>
      </c>
      <c r="CO85" s="15">
        <v>8090.0317969209827</v>
      </c>
      <c r="CP85" s="15">
        <v>56099.22506580341</v>
      </c>
      <c r="CQ85" s="15">
        <v>239679</v>
      </c>
      <c r="CR85" s="15">
        <v>314042.22506580339</v>
      </c>
      <c r="CS85" s="15">
        <v>205085</v>
      </c>
      <c r="CT85" s="15">
        <v>108957.22506580339</v>
      </c>
      <c r="CU85" s="15">
        <v>234286</v>
      </c>
      <c r="CV85" s="15">
        <v>130929.31668817406</v>
      </c>
      <c r="CW85" s="15">
        <v>507688</v>
      </c>
      <c r="CX85" s="15">
        <v>141066</v>
      </c>
      <c r="CY85" s="15">
        <v>11649</v>
      </c>
      <c r="CZ85" s="15">
        <v>17637</v>
      </c>
      <c r="DA85" s="19">
        <v>0</v>
      </c>
      <c r="DB85" s="19">
        <v>0</v>
      </c>
      <c r="DC85" s="19">
        <v>6.494725629326914E-2</v>
      </c>
      <c r="DD85" s="19">
        <v>0.17340348930100447</v>
      </c>
      <c r="DE85" s="19">
        <v>0.28833352455472055</v>
      </c>
      <c r="DF85" s="19">
        <v>0.29747868694544582</v>
      </c>
      <c r="DG85" s="19">
        <v>0.1758370429055599</v>
      </c>
      <c r="DH85" s="15">
        <v>121539.96820307897</v>
      </c>
      <c r="DI85" s="15">
        <v>5532455.1985141123</v>
      </c>
      <c r="DJ85" s="15">
        <v>4459415.1985141123</v>
      </c>
      <c r="DK85" s="15">
        <v>5729906.0000000009</v>
      </c>
      <c r="DL85" s="18">
        <v>8.347540216968341E-2</v>
      </c>
      <c r="DM85" s="15">
        <v>3622021.4024536484</v>
      </c>
      <c r="DN85" s="15">
        <v>3108472.0664763465</v>
      </c>
      <c r="DO85" s="15">
        <v>285773.6917657805</v>
      </c>
      <c r="DP85" s="15">
        <v>130528.76963146588</v>
      </c>
      <c r="DQ85" s="15">
        <v>79356.786008549141</v>
      </c>
      <c r="DR85" s="15">
        <v>17890.08857150676</v>
      </c>
      <c r="DS85" s="15">
        <v>3763598.1654536487</v>
      </c>
      <c r="DT85" s="18">
        <f t="shared" si="31"/>
        <v>0.13315859230422264</v>
      </c>
      <c r="DU85" s="18">
        <f t="shared" si="32"/>
        <v>0.22350909887116782</v>
      </c>
      <c r="DV85" s="18">
        <f t="shared" si="33"/>
        <v>3.0081965737812816E-2</v>
      </c>
      <c r="DW85" s="18">
        <f t="shared" si="34"/>
        <v>-5.2815579850487238E-2</v>
      </c>
      <c r="DX85" s="18">
        <f t="shared" si="35"/>
        <v>8.2247329744671319E-2</v>
      </c>
      <c r="DY85" s="18">
        <f t="shared" si="36"/>
        <v>0.37905119442726942</v>
      </c>
      <c r="DZ85" s="18">
        <f t="shared" si="37"/>
        <v>-0.14138107299673297</v>
      </c>
      <c r="EA85" s="18">
        <f t="shared" si="38"/>
        <v>6.830425330872357E-2</v>
      </c>
      <c r="EB85" s="18">
        <f t="shared" si="39"/>
        <v>0.27784421845335255</v>
      </c>
      <c r="EC85" s="18">
        <f t="shared" si="40"/>
        <v>0.70634266012887037</v>
      </c>
      <c r="ED85" s="18">
        <f t="shared" si="41"/>
        <v>5.8472002004423602E-2</v>
      </c>
      <c r="EE85" s="18">
        <f t="shared" si="42"/>
        <v>5.5683639411722045E-2</v>
      </c>
      <c r="EF85" s="18">
        <f t="shared" si="43"/>
        <v>2.1395286490378244E-2</v>
      </c>
      <c r="EG85" s="18">
        <f t="shared" si="44"/>
        <v>6.7231463443867115E-2</v>
      </c>
      <c r="EH85" s="18">
        <f t="shared" si="45"/>
        <v>3.5348833641238656E-2</v>
      </c>
      <c r="EI85" s="18">
        <f t="shared" si="46"/>
        <v>2.2087028024803602E-2</v>
      </c>
      <c r="EJ85" s="18">
        <f t="shared" si="47"/>
        <v>8.9454610581368083E-2</v>
      </c>
      <c r="EK85" s="18">
        <f t="shared" si="48"/>
        <v>-4.3396174387503032E-2</v>
      </c>
      <c r="EL85" s="18">
        <f t="shared" si="49"/>
        <v>-1.9878162050127868E-2</v>
      </c>
      <c r="EM85" s="6">
        <v>1.5935752231690792</v>
      </c>
      <c r="EN85" s="6">
        <v>1.6397499599294758</v>
      </c>
      <c r="EO85" s="6">
        <v>1.7111947999159673</v>
      </c>
      <c r="EP85" s="6">
        <v>1.569953846153846</v>
      </c>
      <c r="EQ85" s="14">
        <v>185685</v>
      </c>
      <c r="ER85" s="14">
        <v>32901.811000000002</v>
      </c>
      <c r="ES85" s="15">
        <v>260281.99999999997</v>
      </c>
      <c r="ET85" s="15">
        <v>133467</v>
      </c>
      <c r="EU85" s="15">
        <v>4.25</v>
      </c>
      <c r="EV85" s="6">
        <v>57600</v>
      </c>
      <c r="EW85" s="6">
        <v>0.124</v>
      </c>
      <c r="EX85" s="16">
        <v>0.11199377730579699</v>
      </c>
      <c r="EY85" s="16">
        <f t="shared" si="23"/>
        <v>1.2006222694203011E-2</v>
      </c>
      <c r="EZ85" s="6">
        <v>2.9000000000000001E-2</v>
      </c>
      <c r="FA85" s="20">
        <v>3700</v>
      </c>
      <c r="FB85" s="20">
        <v>5450</v>
      </c>
      <c r="FC85" s="20">
        <v>6200</v>
      </c>
      <c r="GF85" s="17">
        <v>434</v>
      </c>
      <c r="GG85" s="17">
        <v>652</v>
      </c>
      <c r="GI85" s="21">
        <v>96948.565000000002</v>
      </c>
      <c r="GJ85" s="6">
        <v>0.28816921421581082</v>
      </c>
      <c r="GK85" s="6">
        <v>0.47773426184085643</v>
      </c>
      <c r="GL85" s="21">
        <v>327476</v>
      </c>
      <c r="GM85" s="21">
        <v>327476.14384583349</v>
      </c>
    </row>
    <row r="86" spans="1:195" ht="15">
      <c r="A86" s="12">
        <v>1994</v>
      </c>
      <c r="B86" s="13">
        <v>0.92965762884302838</v>
      </c>
      <c r="C86" s="15">
        <f t="shared" si="27"/>
        <v>21668483.871950276</v>
      </c>
      <c r="D86" s="15">
        <v>2286508.627532423</v>
      </c>
      <c r="E86" s="15">
        <v>930485.47178847273</v>
      </c>
      <c r="F86" s="15">
        <v>3043684.7815665621</v>
      </c>
      <c r="G86" s="15">
        <v>588027.90925271204</v>
      </c>
      <c r="H86" s="15">
        <v>199274.19090908908</v>
      </c>
      <c r="I86" s="15">
        <v>1506573.9999999998</v>
      </c>
      <c r="J86" s="15">
        <v>945097.21089898294</v>
      </c>
      <c r="K86" s="15">
        <v>561476.78910101741</v>
      </c>
      <c r="L86" s="15">
        <v>559947.89090101549</v>
      </c>
      <c r="M86" s="15">
        <v>1794446.0000000005</v>
      </c>
      <c r="N86" s="15">
        <v>-3083059.5000000005</v>
      </c>
      <c r="O86" s="15">
        <v>-414712</v>
      </c>
      <c r="P86" s="15">
        <v>8184269.5</v>
      </c>
      <c r="Q86" s="15">
        <v>950400</v>
      </c>
      <c r="R86" s="15">
        <v>5284647</v>
      </c>
      <c r="S86" s="15">
        <v>0.35023202622021327</v>
      </c>
      <c r="T86" s="15">
        <v>-1208659</v>
      </c>
      <c r="U86" s="15">
        <v>631937</v>
      </c>
      <c r="V86" s="15">
        <v>16057.335577505321</v>
      </c>
      <c r="W86" s="15">
        <v>4318.2797743479023</v>
      </c>
      <c r="X86" s="15">
        <v>4095.6299234701455</v>
      </c>
      <c r="Y86" s="15">
        <v>1192.923849076062</v>
      </c>
      <c r="Z86" s="15">
        <v>1192.923849076062</v>
      </c>
      <c r="AA86" s="15">
        <v>6296861</v>
      </c>
      <c r="AB86" s="15">
        <v>172671</v>
      </c>
      <c r="AC86" s="15">
        <v>116315.45325628688</v>
      </c>
      <c r="AD86" s="15">
        <v>88618.148073499804</v>
      </c>
      <c r="AE86" s="15">
        <v>-8038.6239273555839</v>
      </c>
      <c r="AF86" s="15">
        <v>103802.99999999999</v>
      </c>
      <c r="AG86" s="15">
        <v>95566</v>
      </c>
      <c r="AH86" s="15">
        <v>1706469.9774024312</v>
      </c>
      <c r="AI86" s="15">
        <v>474127</v>
      </c>
      <c r="AJ86" s="15">
        <v>347211.82468595059</v>
      </c>
      <c r="AK86" s="15">
        <v>126915.17531404944</v>
      </c>
      <c r="AL86" s="15">
        <f t="shared" si="28"/>
        <v>434903.69738063728</v>
      </c>
      <c r="AM86" s="15">
        <v>302450.98306557332</v>
      </c>
      <c r="AN86" s="15">
        <v>132452.71431506399</v>
      </c>
      <c r="AO86" s="15">
        <v>380620.94463009381</v>
      </c>
      <c r="AP86" s="15">
        <v>131136.56355951089</v>
      </c>
      <c r="AQ86" s="15">
        <v>50442.487692600596</v>
      </c>
      <c r="AR86" s="15">
        <f t="shared" si="25"/>
        <v>80694.075866910294</v>
      </c>
      <c r="AS86" s="15">
        <v>574762.24768604455</v>
      </c>
      <c r="AT86" s="15">
        <v>288853.57321665238</v>
      </c>
      <c r="AU86" s="15">
        <f t="shared" si="29"/>
        <v>285908.67446939216</v>
      </c>
      <c r="AV86" s="15">
        <v>-249798.00000000003</v>
      </c>
      <c r="AW86" s="15">
        <v>-119862.00000000001</v>
      </c>
      <c r="AX86" s="15">
        <v>4590391.022597569</v>
      </c>
      <c r="AY86" s="15">
        <v>4006192.0000000005</v>
      </c>
      <c r="AZ86" s="15">
        <v>338766.54674371297</v>
      </c>
      <c r="BA86" s="15">
        <v>45658.194549312044</v>
      </c>
      <c r="BB86" s="15">
        <f t="shared" si="26"/>
        <v>293108.35219440091</v>
      </c>
      <c r="BC86" s="15">
        <v>269916.85192650015</v>
      </c>
      <c r="BD86" s="15">
        <v>-24484.376072644416</v>
      </c>
      <c r="BE86" s="15">
        <f t="shared" si="30"/>
        <v>358534.99999999994</v>
      </c>
      <c r="BF86" s="15">
        <v>3236589</v>
      </c>
      <c r="BG86" s="15">
        <v>769603.00000000012</v>
      </c>
      <c r="BH86" s="15">
        <v>274866.31740008353</v>
      </c>
      <c r="BI86" s="15">
        <v>48140.68259991645</v>
      </c>
      <c r="BJ86" s="15">
        <v>90262</v>
      </c>
      <c r="BK86" s="15">
        <v>31939</v>
      </c>
      <c r="BL86" s="15">
        <v>16462.009776139552</v>
      </c>
      <c r="BM86" s="15">
        <v>2883.1920734628911</v>
      </c>
      <c r="BN86" s="15">
        <v>5469.7981503975543</v>
      </c>
      <c r="BO86" s="15">
        <v>5774271.1375012109</v>
      </c>
      <c r="BP86" s="15">
        <v>698575.38625312597</v>
      </c>
      <c r="BQ86" s="15">
        <v>453652.64291232842</v>
      </c>
      <c r="BR86" s="15">
        <v>565767.16666666663</v>
      </c>
      <c r="BS86" s="15">
        <v>63870.999999999978</v>
      </c>
      <c r="BT86" s="15">
        <v>327389</v>
      </c>
      <c r="BU86" s="15">
        <v>23942</v>
      </c>
      <c r="BV86" s="15">
        <v>26269.000000000004</v>
      </c>
      <c r="BW86" s="15">
        <v>22842</v>
      </c>
      <c r="BX86" s="15">
        <v>12834.999999999991</v>
      </c>
      <c r="BY86" s="15">
        <v>19703</v>
      </c>
      <c r="BZ86" s="15">
        <v>115394</v>
      </c>
      <c r="CA86" s="15">
        <v>23163</v>
      </c>
      <c r="CB86" s="15">
        <v>16300</v>
      </c>
      <c r="CC86" s="15">
        <v>164423</v>
      </c>
      <c r="CD86" s="15">
        <v>139429</v>
      </c>
      <c r="CE86" s="15">
        <v>31.300000000000004</v>
      </c>
      <c r="CF86" s="15">
        <v>32266</v>
      </c>
      <c r="CG86" s="15">
        <v>336118</v>
      </c>
      <c r="CH86" s="15">
        <v>1108101</v>
      </c>
      <c r="CI86" s="15">
        <v>342261</v>
      </c>
      <c r="CJ86" s="15">
        <v>36854.00000000008</v>
      </c>
      <c r="CK86" s="15">
        <v>219321</v>
      </c>
      <c r="CL86" s="15">
        <v>1952056</v>
      </c>
      <c r="CM86" s="15">
        <v>1579316.0000000002</v>
      </c>
      <c r="CN86" s="15">
        <v>-11102.000000000149</v>
      </c>
      <c r="CO86" s="15">
        <v>22960.20184960245</v>
      </c>
      <c r="CP86" s="15">
        <v>45977.017736856964</v>
      </c>
      <c r="CQ86" s="15">
        <v>254139</v>
      </c>
      <c r="CR86" s="15">
        <v>324284.18440352363</v>
      </c>
      <c r="CS86" s="15">
        <v>210734</v>
      </c>
      <c r="CT86" s="15">
        <v>113550.18440352364</v>
      </c>
      <c r="CU86" s="15">
        <v>245971</v>
      </c>
      <c r="CV86" s="15">
        <v>148888.77565610738</v>
      </c>
      <c r="CW86" s="15">
        <v>545082</v>
      </c>
      <c r="CX86" s="15">
        <v>147991</v>
      </c>
      <c r="CY86" s="15">
        <v>13985</v>
      </c>
      <c r="CZ86" s="15">
        <v>20228</v>
      </c>
      <c r="DA86" s="19">
        <v>0</v>
      </c>
      <c r="DB86" s="19">
        <v>0</v>
      </c>
      <c r="DC86" s="19">
        <v>8.7786645089966697E-2</v>
      </c>
      <c r="DD86" s="19">
        <v>0.16255833745110493</v>
      </c>
      <c r="DE86" s="19">
        <v>0.28846488922060226</v>
      </c>
      <c r="DF86" s="19">
        <v>0.2857018240972789</v>
      </c>
      <c r="DG86" s="19">
        <v>0.1754883041410471</v>
      </c>
      <c r="DH86" s="15">
        <v>133888.79815039755</v>
      </c>
      <c r="DI86" s="15">
        <v>5808345.3393508149</v>
      </c>
      <c r="DJ86" s="15">
        <v>4700244.3393508149</v>
      </c>
      <c r="DK86" s="15">
        <v>6114394</v>
      </c>
      <c r="DL86" s="18">
        <v>7.5567150787305831E-2</v>
      </c>
      <c r="DM86" s="15">
        <v>3805320.5921740835</v>
      </c>
      <c r="DN86" s="15">
        <v>3258666.3586253701</v>
      </c>
      <c r="DO86" s="15">
        <v>317652.5202416376</v>
      </c>
      <c r="DP86" s="15">
        <v>125600.08157851729</v>
      </c>
      <c r="DQ86" s="15">
        <v>82038.398678642203</v>
      </c>
      <c r="DR86" s="15">
        <v>21363.233049917024</v>
      </c>
      <c r="DS86" s="15">
        <v>3944865.3101740838</v>
      </c>
      <c r="DT86" s="18">
        <f t="shared" si="31"/>
        <v>0.13136389861212946</v>
      </c>
      <c r="DU86" s="18">
        <f t="shared" si="32"/>
        <v>0.21974183249989784</v>
      </c>
      <c r="DV86" s="18">
        <f t="shared" si="33"/>
        <v>2.9163877073007341E-2</v>
      </c>
      <c r="DW86" s="18">
        <f t="shared" si="34"/>
        <v>-5.577958324830478E-2</v>
      </c>
      <c r="DX86" s="18">
        <f t="shared" si="35"/>
        <v>8.2813638951588123E-2</v>
      </c>
      <c r="DY86" s="18">
        <f t="shared" si="36"/>
        <v>0.37770383698115995</v>
      </c>
      <c r="DZ86" s="18">
        <f t="shared" si="37"/>
        <v>-0.14228312041669897</v>
      </c>
      <c r="EA86" s="18">
        <f t="shared" si="38"/>
        <v>6.95283532019631E-2</v>
      </c>
      <c r="EB86" s="18">
        <f t="shared" si="39"/>
        <v>0.28774726634525782</v>
      </c>
      <c r="EC86" s="18">
        <f t="shared" si="40"/>
        <v>0.69590936537547476</v>
      </c>
      <c r="ED86" s="18">
        <f t="shared" si="41"/>
        <v>5.8846608588619412E-2</v>
      </c>
      <c r="EE86" s="18">
        <f t="shared" si="42"/>
        <v>5.6785974977397694E-2</v>
      </c>
      <c r="EF86" s="18">
        <f t="shared" si="43"/>
        <v>2.0756787232561302E-2</v>
      </c>
      <c r="EG86" s="18">
        <f t="shared" si="44"/>
        <v>7.1127849690523257E-2</v>
      </c>
      <c r="EH86" s="18">
        <f t="shared" si="45"/>
        <v>3.2407781479259254E-2</v>
      </c>
      <c r="EI86" s="18">
        <f t="shared" si="46"/>
        <v>2.144718897073216E-2</v>
      </c>
      <c r="EJ86" s="18">
        <f t="shared" si="47"/>
        <v>9.4001506557484613E-2</v>
      </c>
      <c r="EK86" s="18">
        <f t="shared" si="48"/>
        <v>-4.0854089546731864E-2</v>
      </c>
      <c r="EL86" s="18">
        <f t="shared" si="49"/>
        <v>-1.960325095177053E-2</v>
      </c>
      <c r="EM86" s="6">
        <v>1.5603215522369847</v>
      </c>
      <c r="EN86" s="6">
        <v>1.6045672699896483</v>
      </c>
      <c r="EO86" s="6">
        <v>1.675431528313907</v>
      </c>
      <c r="EP86" s="6">
        <v>1.5378714811019352</v>
      </c>
      <c r="EQ86" s="14">
        <v>187757</v>
      </c>
      <c r="ER86" s="14">
        <v>33330.803</v>
      </c>
      <c r="ES86" s="15">
        <v>263455</v>
      </c>
      <c r="ET86" s="15">
        <v>135309</v>
      </c>
      <c r="EU86" s="15">
        <v>4.25</v>
      </c>
      <c r="EV86" s="6">
        <v>60600</v>
      </c>
      <c r="EW86" s="6">
        <v>0.124</v>
      </c>
      <c r="EX86" s="16">
        <v>0.1055191477510096</v>
      </c>
      <c r="EY86" s="16">
        <f t="shared" si="23"/>
        <v>1.8480852248990404E-2</v>
      </c>
      <c r="EZ86" s="6">
        <v>2.9000000000000001E-2</v>
      </c>
      <c r="FA86" s="20">
        <v>3800</v>
      </c>
      <c r="FB86" s="20">
        <v>5600</v>
      </c>
      <c r="FC86" s="20">
        <v>6350</v>
      </c>
      <c r="GF86" s="17">
        <v>446</v>
      </c>
      <c r="GG86" s="17">
        <v>669</v>
      </c>
      <c r="GI86" s="21">
        <v>97979.510999999999</v>
      </c>
      <c r="GJ86" s="6">
        <v>0.27582804693063817</v>
      </c>
      <c r="GK86" s="6">
        <v>0.50919303804957605</v>
      </c>
      <c r="GL86" s="21">
        <v>348527</v>
      </c>
      <c r="GM86" s="21">
        <v>348527.48342111707</v>
      </c>
    </row>
    <row r="87" spans="1:195" ht="15">
      <c r="A87" s="12">
        <v>1995</v>
      </c>
      <c r="B87" s="13">
        <v>0.93806686081112178</v>
      </c>
      <c r="C87" s="15">
        <f t="shared" si="27"/>
        <v>23114392.487445854</v>
      </c>
      <c r="D87" s="15">
        <v>2640082.9845448993</v>
      </c>
      <c r="E87" s="15">
        <v>908670.83717895451</v>
      </c>
      <c r="F87" s="15">
        <v>3310427.2809036532</v>
      </c>
      <c r="G87" s="15">
        <v>606984.34117599158</v>
      </c>
      <c r="H87" s="15">
        <v>164910.50909090921</v>
      </c>
      <c r="I87" s="15">
        <v>1613956.5</v>
      </c>
      <c r="J87" s="15">
        <v>983455.53533477848</v>
      </c>
      <c r="K87" s="15">
        <v>630500.96466522175</v>
      </c>
      <c r="L87" s="15">
        <v>607225.53455144726</v>
      </c>
      <c r="M87" s="15">
        <v>1890757</v>
      </c>
      <c r="N87" s="15">
        <v>-3243475.5</v>
      </c>
      <c r="O87" s="15">
        <v>-428248.50000000006</v>
      </c>
      <c r="P87" s="15">
        <v>8425522.5</v>
      </c>
      <c r="Q87" s="15">
        <v>1085485</v>
      </c>
      <c r="R87" s="15">
        <v>5883562.9999999991</v>
      </c>
      <c r="S87" s="15">
        <v>0.37652524174495439</v>
      </c>
      <c r="T87" s="15">
        <v>-1371595.0000000002</v>
      </c>
      <c r="U87" s="15">
        <v>591877.5</v>
      </c>
      <c r="V87" s="15">
        <v>20461.925802740381</v>
      </c>
      <c r="W87" s="15">
        <v>4810.583015432645</v>
      </c>
      <c r="X87" s="15">
        <v>4390.7922161366241</v>
      </c>
      <c r="Y87" s="15">
        <v>1383.2967218676779</v>
      </c>
      <c r="Z87" s="15">
        <v>1383.2967218676779</v>
      </c>
      <c r="AA87" s="15">
        <v>6651558</v>
      </c>
      <c r="AB87" s="15">
        <v>194449</v>
      </c>
      <c r="AC87" s="15">
        <v>123015.99976108014</v>
      </c>
      <c r="AD87" s="15">
        <v>95045.41950489895</v>
      </c>
      <c r="AE87" s="15">
        <v>-8898.4542542298586</v>
      </c>
      <c r="AF87" s="15">
        <v>104155</v>
      </c>
      <c r="AG87" s="15">
        <v>98424.000000000015</v>
      </c>
      <c r="AH87" s="15">
        <v>1851031.9650117492</v>
      </c>
      <c r="AI87" s="15">
        <v>509403.99999999994</v>
      </c>
      <c r="AJ87" s="15">
        <v>372851.96574945282</v>
      </c>
      <c r="AK87" s="15">
        <v>136552.03425054718</v>
      </c>
      <c r="AL87" s="15">
        <f t="shared" si="28"/>
        <v>473198.29154894012</v>
      </c>
      <c r="AM87" s="15">
        <v>330128.96407031931</v>
      </c>
      <c r="AN87" s="15">
        <v>143069.32747862081</v>
      </c>
      <c r="AO87" s="15">
        <v>408299.11562611698</v>
      </c>
      <c r="AP87" s="15">
        <v>138009.67490706139</v>
      </c>
      <c r="AQ87" s="15">
        <v>55268.002618906867</v>
      </c>
      <c r="AR87" s="15">
        <f t="shared" si="25"/>
        <v>82741.672288154514</v>
      </c>
      <c r="AS87" s="15">
        <v>645890.91767896165</v>
      </c>
      <c r="AT87" s="15">
        <v>328120.67994027812</v>
      </c>
      <c r="AU87" s="15">
        <f t="shared" si="29"/>
        <v>317770.23773868353</v>
      </c>
      <c r="AV87" s="15">
        <v>-269496.99999999994</v>
      </c>
      <c r="AW87" s="15">
        <v>-140420.00000000003</v>
      </c>
      <c r="AX87" s="15">
        <v>4800526.0349882497</v>
      </c>
      <c r="AY87" s="15">
        <v>4198088</v>
      </c>
      <c r="AZ87" s="15">
        <v>351566.00023891986</v>
      </c>
      <c r="BA87" s="15">
        <v>50549.7183931338</v>
      </c>
      <c r="BB87" s="15">
        <f t="shared" si="26"/>
        <v>301016.28184578608</v>
      </c>
      <c r="BC87" s="15">
        <v>276785.58049510105</v>
      </c>
      <c r="BD87" s="15">
        <v>-25913.545745770145</v>
      </c>
      <c r="BE87" s="15">
        <f t="shared" si="30"/>
        <v>371831</v>
      </c>
      <c r="BF87" s="15">
        <v>3418022</v>
      </c>
      <c r="BG87" s="15">
        <v>780065.99999999977</v>
      </c>
      <c r="BH87" s="15">
        <v>287719.02864399838</v>
      </c>
      <c r="BI87" s="15">
        <v>51378.971356001595</v>
      </c>
      <c r="BJ87" s="15">
        <v>96041</v>
      </c>
      <c r="BK87" s="15">
        <v>31757</v>
      </c>
      <c r="BL87" s="15">
        <v>17625.510934783422</v>
      </c>
      <c r="BM87" s="15">
        <v>3147.447792108414</v>
      </c>
      <c r="BN87" s="15">
        <v>5956.0412731081615</v>
      </c>
      <c r="BO87" s="15">
        <v>6072125.5227453383</v>
      </c>
      <c r="BP87" s="15">
        <v>731149.97446813574</v>
      </c>
      <c r="BQ87" s="15">
        <v>514571.00278652617</v>
      </c>
      <c r="BR87" s="15">
        <v>601532.5</v>
      </c>
      <c r="BS87" s="15">
        <v>64756.000000000087</v>
      </c>
      <c r="BT87" s="15">
        <v>343123.99999999994</v>
      </c>
      <c r="BU87" s="15">
        <v>21734</v>
      </c>
      <c r="BV87" s="15">
        <v>27726.000000000004</v>
      </c>
      <c r="BW87" s="15">
        <v>22447</v>
      </c>
      <c r="BX87" s="15">
        <v>12471.000000000015</v>
      </c>
      <c r="BY87" s="15">
        <v>20543</v>
      </c>
      <c r="BZ87" s="15">
        <v>121917.00000000003</v>
      </c>
      <c r="CA87" s="15">
        <v>22637</v>
      </c>
      <c r="CB87" s="15">
        <v>16733</v>
      </c>
      <c r="CC87" s="15">
        <v>181220</v>
      </c>
      <c r="CD87" s="15">
        <v>149570</v>
      </c>
      <c r="CE87" s="15">
        <v>33.4</v>
      </c>
      <c r="CF87" s="15">
        <v>33423</v>
      </c>
      <c r="CG87" s="15">
        <v>364212.99999999994</v>
      </c>
      <c r="CH87" s="15">
        <v>1141743</v>
      </c>
      <c r="CI87" s="15">
        <v>362405</v>
      </c>
      <c r="CJ87" s="15">
        <v>42529.999999999964</v>
      </c>
      <c r="CK87" s="15">
        <v>241890.99999999997</v>
      </c>
      <c r="CL87" s="15">
        <v>2070104.0000000002</v>
      </c>
      <c r="CM87" s="15">
        <v>1648416</v>
      </c>
      <c r="CN87" s="15">
        <v>22030.000000000084</v>
      </c>
      <c r="CO87" s="15">
        <v>26769.958726891873</v>
      </c>
      <c r="CP87" s="15">
        <v>38091.515741243828</v>
      </c>
      <c r="CQ87" s="15">
        <v>264120</v>
      </c>
      <c r="CR87" s="15">
        <v>339522.0157412439</v>
      </c>
      <c r="CS87" s="15">
        <v>215761</v>
      </c>
      <c r="CT87" s="15">
        <v>123761.01574124391</v>
      </c>
      <c r="CU87" s="15">
        <v>242831</v>
      </c>
      <c r="CV87" s="15">
        <v>144770.99211466635</v>
      </c>
      <c r="CW87" s="15">
        <v>590297</v>
      </c>
      <c r="CX87" s="15">
        <v>158109</v>
      </c>
      <c r="CY87" s="15">
        <v>19903</v>
      </c>
      <c r="CZ87" s="15">
        <v>20039</v>
      </c>
      <c r="DA87" s="19">
        <v>0</v>
      </c>
      <c r="DB87" s="19">
        <v>0</v>
      </c>
      <c r="DC87" s="19">
        <v>0.11062603388666425</v>
      </c>
      <c r="DD87" s="19">
        <v>0.1517131856012055</v>
      </c>
      <c r="DE87" s="19">
        <v>0.28859625388648386</v>
      </c>
      <c r="DF87" s="19">
        <v>0.27392496124911192</v>
      </c>
      <c r="DG87" s="19">
        <v>0.17513956537653433</v>
      </c>
      <c r="DH87" s="15">
        <v>141172.04127310822</v>
      </c>
      <c r="DI87" s="15">
        <v>6076877.4814722314</v>
      </c>
      <c r="DJ87" s="15">
        <v>4935134.4814722305</v>
      </c>
      <c r="DK87" s="15">
        <v>6452197</v>
      </c>
      <c r="DL87" s="18">
        <v>6.833558003589249E-2</v>
      </c>
      <c r="DM87" s="15">
        <v>4050827.5599636263</v>
      </c>
      <c r="DN87" s="15">
        <v>3450573.1671239152</v>
      </c>
      <c r="DO87" s="15">
        <v>328972.69393434603</v>
      </c>
      <c r="DP87" s="15">
        <v>154020.60970457637</v>
      </c>
      <c r="DQ87" s="15">
        <v>94127.299301434206</v>
      </c>
      <c r="DR87" s="15">
        <v>23133.789899354513</v>
      </c>
      <c r="DS87" s="15">
        <v>4217585.6449636267</v>
      </c>
      <c r="DT87" s="18">
        <f t="shared" si="31"/>
        <v>0.14048859475151948</v>
      </c>
      <c r="DU87" s="18">
        <f t="shared" si="32"/>
        <v>0.21592576880661138</v>
      </c>
      <c r="DV87" s="18">
        <f t="shared" si="33"/>
        <v>2.5606448463720909E-2</v>
      </c>
      <c r="DW87" s="18">
        <f t="shared" si="34"/>
        <v>-5.9339435407828961E-2</v>
      </c>
      <c r="DX87" s="18">
        <f t="shared" si="35"/>
        <v>8.1799986784291609E-2</v>
      </c>
      <c r="DY87" s="18">
        <f t="shared" si="36"/>
        <v>0.36451412273007666</v>
      </c>
      <c r="DZ87" s="18">
        <f t="shared" si="37"/>
        <v>-0.14032276650842684</v>
      </c>
      <c r="EA87" s="18">
        <f t="shared" si="38"/>
        <v>6.9824742349451324E-2</v>
      </c>
      <c r="EB87" s="18">
        <f t="shared" si="39"/>
        <v>0.30150253803058447</v>
      </c>
      <c r="EC87" s="18">
        <f t="shared" si="40"/>
        <v>0.69022776158910948</v>
      </c>
      <c r="ED87" s="18">
        <f t="shared" si="41"/>
        <v>5.7802650491306042E-2</v>
      </c>
      <c r="EE87" s="18">
        <f t="shared" si="42"/>
        <v>5.7786822961148399E-2</v>
      </c>
      <c r="EF87" s="18">
        <f t="shared" si="43"/>
        <v>2.1163649257849252E-2</v>
      </c>
      <c r="EG87" s="18">
        <f t="shared" si="44"/>
        <v>7.3339095435080506E-2</v>
      </c>
      <c r="EH87" s="18">
        <f t="shared" si="45"/>
        <v>3.2382476174567666E-2</v>
      </c>
      <c r="EI87" s="18">
        <f t="shared" si="46"/>
        <v>2.1389563106498668E-2</v>
      </c>
      <c r="EJ87" s="18">
        <f t="shared" si="47"/>
        <v>0.1001040293219444</v>
      </c>
      <c r="EK87" s="18">
        <f t="shared" si="48"/>
        <v>-4.1768253511168356E-2</v>
      </c>
      <c r="EL87" s="18">
        <f t="shared" si="49"/>
        <v>-2.1763129675054872E-2</v>
      </c>
      <c r="EM87" s="6">
        <v>1.5282446625730206</v>
      </c>
      <c r="EN87" s="6">
        <v>1.5718521932857035</v>
      </c>
      <c r="EO87" s="6">
        <v>1.6360358446401548</v>
      </c>
      <c r="EP87" s="6">
        <v>1.5061398589013193</v>
      </c>
      <c r="EQ87" s="14">
        <v>189911</v>
      </c>
      <c r="ER87" s="14">
        <v>33769.303999999996</v>
      </c>
      <c r="ES87" s="15">
        <v>266588</v>
      </c>
      <c r="ET87" s="15">
        <v>137032</v>
      </c>
      <c r="EU87" s="15">
        <v>4.25</v>
      </c>
      <c r="EV87" s="6">
        <v>61200</v>
      </c>
      <c r="EW87" s="6">
        <v>0.124</v>
      </c>
      <c r="EX87" s="16">
        <v>0.10521194330799886</v>
      </c>
      <c r="EY87" s="16">
        <f t="shared" si="23"/>
        <v>1.8788056692001134E-2</v>
      </c>
      <c r="EZ87" s="6">
        <v>2.9000000000000001E-2</v>
      </c>
      <c r="FA87" s="20">
        <v>3900</v>
      </c>
      <c r="FB87" s="20">
        <v>5750</v>
      </c>
      <c r="FC87" s="20">
        <v>6550</v>
      </c>
      <c r="GF87" s="17">
        <v>458</v>
      </c>
      <c r="GG87" s="17">
        <v>687</v>
      </c>
      <c r="GI87" s="21">
        <v>99010.456999999995</v>
      </c>
      <c r="GJ87" s="6">
        <v>0.25821912428176419</v>
      </c>
      <c r="GK87" s="6">
        <v>0.56444663173570453</v>
      </c>
      <c r="GL87" s="21">
        <v>394373</v>
      </c>
      <c r="GM87" s="21">
        <v>394372.63814681279</v>
      </c>
    </row>
    <row r="88" spans="1:195" ht="15">
      <c r="A88" s="12">
        <v>1996</v>
      </c>
      <c r="B88" s="13">
        <v>0.94300302595798646</v>
      </c>
      <c r="C88" s="15">
        <f t="shared" si="27"/>
        <v>25178252.07913471</v>
      </c>
      <c r="D88" s="15">
        <v>3297338.9911167882</v>
      </c>
      <c r="E88" s="15">
        <v>885461.46023084177</v>
      </c>
      <c r="F88" s="15">
        <v>3553546.8223109194</v>
      </c>
      <c r="G88" s="15">
        <v>678151.82344932307</v>
      </c>
      <c r="H88" s="15">
        <v>140604.34545454534</v>
      </c>
      <c r="I88" s="15">
        <v>1717873.5000000002</v>
      </c>
      <c r="J88" s="15">
        <v>1024321.4278084469</v>
      </c>
      <c r="K88" s="15">
        <v>693552.07219155319</v>
      </c>
      <c r="L88" s="15">
        <v>681514.13657229266</v>
      </c>
      <c r="M88" s="15">
        <v>1972890</v>
      </c>
      <c r="N88" s="15">
        <v>-3429569.4999999995</v>
      </c>
      <c r="O88" s="15">
        <v>-451878.5</v>
      </c>
      <c r="P88" s="15">
        <v>8689176.5</v>
      </c>
      <c r="Q88" s="15">
        <v>1275189.5</v>
      </c>
      <c r="R88" s="15">
        <v>6704230.5</v>
      </c>
      <c r="S88" s="15">
        <v>0.41727330571413079</v>
      </c>
      <c r="T88" s="15">
        <v>-1524798.0000000002</v>
      </c>
      <c r="U88" s="15">
        <v>536641.99999999988</v>
      </c>
      <c r="V88" s="15">
        <v>30811.397776489164</v>
      </c>
      <c r="W88" s="15">
        <v>5939.7321758398166</v>
      </c>
      <c r="X88" s="15">
        <v>5213.1866352562402</v>
      </c>
      <c r="Y88" s="15">
        <v>1989.2324861706081</v>
      </c>
      <c r="Z88" s="15">
        <v>1989.2324861706081</v>
      </c>
      <c r="AA88" s="15">
        <v>7073095.0000000009</v>
      </c>
      <c r="AB88" s="15">
        <v>211386</v>
      </c>
      <c r="AC88" s="15">
        <v>142933.28080216312</v>
      </c>
      <c r="AD88" s="15">
        <v>100584.83801760482</v>
      </c>
      <c r="AE88" s="15">
        <v>-9177.6540639334562</v>
      </c>
      <c r="AF88" s="15">
        <v>107645</v>
      </c>
      <c r="AG88" s="15">
        <v>104706</v>
      </c>
      <c r="AH88" s="15">
        <v>1999418.4647558343</v>
      </c>
      <c r="AI88" s="15">
        <v>533615</v>
      </c>
      <c r="AJ88" s="15">
        <v>394921.70064793294</v>
      </c>
      <c r="AK88" s="15">
        <v>138693.29935206706</v>
      </c>
      <c r="AL88" s="15">
        <f t="shared" si="28"/>
        <v>528439.77095520834</v>
      </c>
      <c r="AM88" s="15">
        <v>368117.75898928015</v>
      </c>
      <c r="AN88" s="15">
        <v>160322.01196592816</v>
      </c>
      <c r="AO88" s="15">
        <v>414924.45028559747</v>
      </c>
      <c r="AP88" s="15">
        <v>158642.51382598322</v>
      </c>
      <c r="AQ88" s="15">
        <v>66948.897991621954</v>
      </c>
      <c r="AR88" s="15">
        <f t="shared" si="25"/>
        <v>91693.615834361262</v>
      </c>
      <c r="AS88" s="15">
        <v>704682.54573537433</v>
      </c>
      <c r="AT88" s="15">
        <v>371719.2897631696</v>
      </c>
      <c r="AU88" s="15">
        <f t="shared" si="29"/>
        <v>332963.25597220473</v>
      </c>
      <c r="AV88" s="15">
        <v>-275277</v>
      </c>
      <c r="AW88" s="15">
        <v>-157016</v>
      </c>
      <c r="AX88" s="15">
        <v>5073676.5352441641</v>
      </c>
      <c r="AY88" s="15">
        <v>4416942</v>
      </c>
      <c r="AZ88" s="15">
        <v>397219.71919783688</v>
      </c>
      <c r="BA88" s="15">
        <v>61713.115608929416</v>
      </c>
      <c r="BB88" s="15">
        <f t="shared" si="26"/>
        <v>335506.60358890746</v>
      </c>
      <c r="BC88" s="15">
        <v>285571.16198239528</v>
      </c>
      <c r="BD88" s="15">
        <v>-26056.345936066547</v>
      </c>
      <c r="BE88" s="15">
        <f t="shared" si="30"/>
        <v>386156.00000000012</v>
      </c>
      <c r="BF88" s="15">
        <v>3616470</v>
      </c>
      <c r="BG88" s="15">
        <v>800472.00000000023</v>
      </c>
      <c r="BH88" s="15">
        <v>303121.26214104728</v>
      </c>
      <c r="BI88" s="15">
        <v>54038.7378589527</v>
      </c>
      <c r="BJ88" s="15">
        <v>101719</v>
      </c>
      <c r="BK88" s="15">
        <v>31202</v>
      </c>
      <c r="BL88" s="15">
        <v>18194.834716631307</v>
      </c>
      <c r="BM88" s="15">
        <v>3243.6718450370522</v>
      </c>
      <c r="BN88" s="15">
        <v>6193.4934383316422</v>
      </c>
      <c r="BO88" s="15">
        <v>6441054.2208742267</v>
      </c>
      <c r="BP88" s="15">
        <v>772226.63064063247</v>
      </c>
      <c r="BQ88" s="15">
        <v>571566.81515180808</v>
      </c>
      <c r="BR88" s="15">
        <v>643244.66666666674</v>
      </c>
      <c r="BS88" s="15">
        <v>68508.000000000044</v>
      </c>
      <c r="BT88" s="15">
        <v>357765</v>
      </c>
      <c r="BU88" s="15">
        <v>22274</v>
      </c>
      <c r="BV88" s="15">
        <v>28903</v>
      </c>
      <c r="BW88" s="15">
        <v>21953</v>
      </c>
      <c r="BX88" s="15">
        <v>13413.999999999985</v>
      </c>
      <c r="BY88" s="15">
        <v>21425</v>
      </c>
      <c r="BZ88" s="15">
        <v>125612.99999999997</v>
      </c>
      <c r="CA88" s="15">
        <v>20325</v>
      </c>
      <c r="CB88" s="15">
        <v>16682</v>
      </c>
      <c r="CC88" s="15">
        <v>194868</v>
      </c>
      <c r="CD88" s="15">
        <v>158188</v>
      </c>
      <c r="CE88" s="15">
        <v>33.619999999999997</v>
      </c>
      <c r="CF88" s="15">
        <v>33775.999999999993</v>
      </c>
      <c r="CG88" s="15">
        <v>386832</v>
      </c>
      <c r="CH88" s="15">
        <v>1172889</v>
      </c>
      <c r="CI88" s="15">
        <v>378472</v>
      </c>
      <c r="CJ88" s="15">
        <v>45094.999999999993</v>
      </c>
      <c r="CK88" s="15">
        <v>247549.99999999997</v>
      </c>
      <c r="CL88" s="15">
        <v>2225165</v>
      </c>
      <c r="CM88" s="15">
        <v>1706759</v>
      </c>
      <c r="CN88" s="15">
        <v>103143.00000000026</v>
      </c>
      <c r="CO88" s="15">
        <v>29761.506561668368</v>
      </c>
      <c r="CP88" s="15">
        <v>30712.457412297397</v>
      </c>
      <c r="CQ88" s="15">
        <v>274805</v>
      </c>
      <c r="CR88" s="15">
        <v>362426.12407896412</v>
      </c>
      <c r="CS88" s="15">
        <v>225350.00000000003</v>
      </c>
      <c r="CT88" s="15">
        <v>137076.12407896409</v>
      </c>
      <c r="CU88" s="15">
        <v>245447</v>
      </c>
      <c r="CV88" s="15">
        <v>152445.40257138995</v>
      </c>
      <c r="CW88" s="15">
        <v>668410</v>
      </c>
      <c r="CX88" s="15">
        <v>168674</v>
      </c>
      <c r="CY88" s="15">
        <v>24336</v>
      </c>
      <c r="CZ88" s="15">
        <v>23110</v>
      </c>
      <c r="DA88" s="19">
        <v>0</v>
      </c>
      <c r="DB88" s="19">
        <v>0</v>
      </c>
      <c r="DC88" s="19">
        <v>0.13346542268336181</v>
      </c>
      <c r="DD88" s="19">
        <v>0.14086803375130608</v>
      </c>
      <c r="DE88" s="19">
        <v>0.28872761855236551</v>
      </c>
      <c r="DF88" s="19">
        <v>0.26214809840094511</v>
      </c>
      <c r="DG88" s="19">
        <v>0.17479082661202153</v>
      </c>
      <c r="DH88" s="15">
        <v>145277.49343833164</v>
      </c>
      <c r="DI88" s="15">
        <v>6367682.7274358952</v>
      </c>
      <c r="DJ88" s="15">
        <v>5194793.7274358952</v>
      </c>
      <c r="DK88" s="15">
        <v>6870640.0000000009</v>
      </c>
      <c r="DL88" s="18">
        <v>7.2459639623828495E-2</v>
      </c>
      <c r="DM88" s="15">
        <v>4309234.881231687</v>
      </c>
      <c r="DN88" s="15">
        <v>3653945.0879518627</v>
      </c>
      <c r="DO88" s="15">
        <v>358019.22056499269</v>
      </c>
      <c r="DP88" s="15">
        <v>165153.30876435796</v>
      </c>
      <c r="DQ88" s="15">
        <v>103925.97404894346</v>
      </c>
      <c r="DR88" s="15">
        <v>28191.289901529173</v>
      </c>
      <c r="DS88" s="15">
        <v>4555195.6322316863</v>
      </c>
      <c r="DT88" s="18">
        <f t="shared" si="31"/>
        <v>0.15802737676879355</v>
      </c>
      <c r="DU88" s="18">
        <f t="shared" si="32"/>
        <v>0.20882166223932416</v>
      </c>
      <c r="DV88" s="18">
        <f t="shared" si="33"/>
        <v>2.1313711464693637E-2</v>
      </c>
      <c r="DW88" s="18">
        <f t="shared" si="34"/>
        <v>-6.0560121298634736E-2</v>
      </c>
      <c r="DX88" s="18">
        <f t="shared" si="35"/>
        <v>7.8356908724213609E-2</v>
      </c>
      <c r="DY88" s="18">
        <f t="shared" si="36"/>
        <v>0.34510642250661816</v>
      </c>
      <c r="DZ88" s="18">
        <f t="shared" si="37"/>
        <v>-0.13621158010575696</v>
      </c>
      <c r="EA88" s="18">
        <f t="shared" si="38"/>
        <v>6.8228465367681623E-2</v>
      </c>
      <c r="EB88" s="18">
        <f t="shared" si="39"/>
        <v>0.316917154333067</v>
      </c>
      <c r="EC88" s="18">
        <f t="shared" si="40"/>
        <v>0.6810064991712601</v>
      </c>
      <c r="ED88" s="18">
        <f t="shared" si="41"/>
        <v>6.1243550486447383E-2</v>
      </c>
      <c r="EE88" s="18">
        <f t="shared" si="42"/>
        <v>5.7479608980812981E-2</v>
      </c>
      <c r="EF88" s="18">
        <f t="shared" si="43"/>
        <v>2.0186372645352842E-2</v>
      </c>
      <c r="EG88" s="18">
        <f t="shared" si="44"/>
        <v>7.6912743347811591E-2</v>
      </c>
      <c r="EH88" s="18">
        <f t="shared" si="45"/>
        <v>3.0924258917014641E-2</v>
      </c>
      <c r="EI88" s="18">
        <f t="shared" si="46"/>
        <v>2.3089917944468519E-2</v>
      </c>
      <c r="EJ88" s="18">
        <f t="shared" si="47"/>
        <v>0.10256432380904461</v>
      </c>
      <c r="EK88" s="18">
        <f t="shared" si="48"/>
        <v>-4.0065699847466898E-2</v>
      </c>
      <c r="EL88" s="18">
        <f t="shared" si="49"/>
        <v>-2.28531839828604E-2</v>
      </c>
      <c r="EM88" s="6">
        <v>1.5008216444627032</v>
      </c>
      <c r="EN88" s="6">
        <v>1.5398184801095745</v>
      </c>
      <c r="EO88" s="6">
        <v>1.593614863361672</v>
      </c>
      <c r="EP88" s="6">
        <v>1.4746037021516407</v>
      </c>
      <c r="EQ88" s="14">
        <v>192043</v>
      </c>
      <c r="ER88" s="14">
        <v>34143.048999999999</v>
      </c>
      <c r="ES88" s="15">
        <v>269714</v>
      </c>
      <c r="ET88" s="15">
        <v>139504</v>
      </c>
      <c r="EU88" s="15">
        <v>4.75</v>
      </c>
      <c r="EV88" s="6">
        <v>62700</v>
      </c>
      <c r="EW88" s="6">
        <v>0.124</v>
      </c>
      <c r="EX88" s="16">
        <v>0.10523865076013512</v>
      </c>
      <c r="EY88" s="16">
        <f t="shared" si="23"/>
        <v>1.8761349239864875E-2</v>
      </c>
      <c r="EZ88" s="6">
        <v>2.9000000000000001E-2</v>
      </c>
      <c r="FA88" s="20">
        <v>4000</v>
      </c>
      <c r="FB88" s="20">
        <v>5900</v>
      </c>
      <c r="FC88" s="20">
        <v>6700</v>
      </c>
      <c r="GF88" s="17">
        <v>470</v>
      </c>
      <c r="GG88" s="17">
        <v>705</v>
      </c>
      <c r="GI88" s="21">
        <v>100189.91866666666</v>
      </c>
      <c r="GJ88" s="6">
        <v>0.25882225561032873</v>
      </c>
      <c r="GK88" s="6">
        <v>0.63973124302978945</v>
      </c>
      <c r="GL88" s="21">
        <v>468152</v>
      </c>
      <c r="GM88" s="21">
        <v>468152.11186721973</v>
      </c>
    </row>
    <row r="89" spans="1:195" ht="15">
      <c r="A89" s="12">
        <v>1997</v>
      </c>
      <c r="B89" s="13">
        <v>0.94679660264838106</v>
      </c>
      <c r="C89" s="15">
        <f t="shared" si="27"/>
        <v>27720458.058715295</v>
      </c>
      <c r="D89" s="15">
        <v>4078292.3521512882</v>
      </c>
      <c r="E89" s="15">
        <v>925981.36278710852</v>
      </c>
      <c r="F89" s="15">
        <v>3704153.9978487105</v>
      </c>
      <c r="G89" s="15">
        <v>772502.8732009111</v>
      </c>
      <c r="H89" s="15">
        <v>103215.97272727582</v>
      </c>
      <c r="I89" s="15">
        <v>1890439.5000000005</v>
      </c>
      <c r="J89" s="15">
        <v>1104620.1847276315</v>
      </c>
      <c r="K89" s="15">
        <v>785819.31527236814</v>
      </c>
      <c r="L89" s="15">
        <v>788619</v>
      </c>
      <c r="M89" s="15">
        <v>2084396.5000000002</v>
      </c>
      <c r="N89" s="15">
        <v>-3642495</v>
      </c>
      <c r="O89" s="15">
        <v>-480871.99999999994</v>
      </c>
      <c r="P89" s="15">
        <v>9109697</v>
      </c>
      <c r="Q89" s="15">
        <v>1461837</v>
      </c>
      <c r="R89" s="15">
        <v>7611246</v>
      </c>
      <c r="S89" s="15">
        <v>0.45345137540179981</v>
      </c>
      <c r="T89" s="15">
        <v>-1654006.5</v>
      </c>
      <c r="U89" s="15">
        <v>486577.99999999994</v>
      </c>
      <c r="V89" s="15">
        <v>40720.949999999997</v>
      </c>
      <c r="W89" s="15">
        <v>6770.7781184547357</v>
      </c>
      <c r="X89" s="15">
        <v>5709.4989387945079</v>
      </c>
      <c r="Y89" s="15">
        <v>2309.3864713753774</v>
      </c>
      <c r="Z89" s="15">
        <v>2309.3864713753774</v>
      </c>
      <c r="AA89" s="15">
        <v>7551349.9999999991</v>
      </c>
      <c r="AB89" s="15">
        <v>224762</v>
      </c>
      <c r="AC89" s="15">
        <v>158486.45536964104</v>
      </c>
      <c r="AD89" s="15">
        <v>106377.36758534763</v>
      </c>
      <c r="AE89" s="15">
        <v>-8855.0900573674735</v>
      </c>
      <c r="AF89" s="15">
        <v>111657</v>
      </c>
      <c r="AG89" s="15">
        <v>111872</v>
      </c>
      <c r="AH89" s="15">
        <v>2142739.7328976206</v>
      </c>
      <c r="AI89" s="15">
        <v>558986</v>
      </c>
      <c r="AJ89" s="15">
        <v>420255.74389319727</v>
      </c>
      <c r="AK89" s="15">
        <v>138730.25610680276</v>
      </c>
      <c r="AL89" s="15">
        <f t="shared" si="28"/>
        <v>577052.97593516367</v>
      </c>
      <c r="AM89" s="15">
        <v>398224.71069795999</v>
      </c>
      <c r="AN89" s="15">
        <v>178828.26523720374</v>
      </c>
      <c r="AO89" s="15">
        <v>432819.91665474162</v>
      </c>
      <c r="AP89" s="15">
        <v>175080.62186768005</v>
      </c>
      <c r="AQ89" s="15">
        <v>78884.826013629092</v>
      </c>
      <c r="AR89" s="15">
        <f t="shared" si="25"/>
        <v>96195.795854050957</v>
      </c>
      <c r="AS89" s="15">
        <v>759899.94091205532</v>
      </c>
      <c r="AT89" s="15">
        <v>401731.10360611568</v>
      </c>
      <c r="AU89" s="15">
        <f t="shared" si="29"/>
        <v>358168.83730593964</v>
      </c>
      <c r="AV89" s="15">
        <v>-288883.99999999994</v>
      </c>
      <c r="AW89" s="15">
        <v>-169737.99999999997</v>
      </c>
      <c r="AX89" s="15">
        <v>5408610.2671023803</v>
      </c>
      <c r="AY89" s="15">
        <v>4708818</v>
      </c>
      <c r="AZ89" s="15">
        <v>424960.5446303591</v>
      </c>
      <c r="BA89" s="15">
        <v>73060.467358644513</v>
      </c>
      <c r="BB89" s="15">
        <f t="shared" si="26"/>
        <v>351900.07727171457</v>
      </c>
      <c r="BC89" s="15">
        <v>299786.6324146525</v>
      </c>
      <c r="BD89" s="15">
        <v>-24954.909942632537</v>
      </c>
      <c r="BE89" s="15">
        <f t="shared" si="30"/>
        <v>406164.00000000012</v>
      </c>
      <c r="BF89" s="15">
        <v>3876843</v>
      </c>
      <c r="BG89" s="15">
        <v>831975.00000000035</v>
      </c>
      <c r="BH89" s="15">
        <v>329267.16057608463</v>
      </c>
      <c r="BI89" s="15">
        <v>52725.839423915349</v>
      </c>
      <c r="BJ89" s="15">
        <v>109584</v>
      </c>
      <c r="BK89" s="15">
        <v>30344</v>
      </c>
      <c r="BL89" s="15">
        <v>19305.839931905317</v>
      </c>
      <c r="BM89" s="15">
        <v>3091.4610932123001</v>
      </c>
      <c r="BN89" s="15">
        <v>6520.6989748823826</v>
      </c>
      <c r="BO89" s="15">
        <v>6861629.717492003</v>
      </c>
      <c r="BP89" s="15">
        <v>824804.02440678363</v>
      </c>
      <c r="BQ89" s="15">
        <v>624983.59143454675</v>
      </c>
      <c r="BR89" s="15">
        <v>692231.33333333337</v>
      </c>
      <c r="BS89" s="15">
        <v>67835.999999999898</v>
      </c>
      <c r="BT89" s="15">
        <v>372588</v>
      </c>
      <c r="BU89" s="15">
        <v>20103</v>
      </c>
      <c r="BV89" s="15">
        <v>29153.999999999996</v>
      </c>
      <c r="BW89" s="15">
        <v>18732</v>
      </c>
      <c r="BX89" s="15">
        <v>13098.999999999985</v>
      </c>
      <c r="BY89" s="15">
        <v>22306</v>
      </c>
      <c r="BZ89" s="15">
        <v>124088.99999999997</v>
      </c>
      <c r="CA89" s="15">
        <v>17877</v>
      </c>
      <c r="CB89" s="15">
        <v>17814</v>
      </c>
      <c r="CC89" s="15">
        <v>206917</v>
      </c>
      <c r="CD89" s="15">
        <v>163124</v>
      </c>
      <c r="CE89" s="15">
        <v>33.839999999999996</v>
      </c>
      <c r="CF89" s="15">
        <v>34150</v>
      </c>
      <c r="CG89" s="15">
        <v>404191</v>
      </c>
      <c r="CH89" s="15">
        <v>1220528</v>
      </c>
      <c r="CI89" s="15">
        <v>398296</v>
      </c>
      <c r="CJ89" s="15">
        <v>48230.999999999942</v>
      </c>
      <c r="CK89" s="15">
        <v>249343.00000000006</v>
      </c>
      <c r="CL89" s="15">
        <v>2400491</v>
      </c>
      <c r="CM89" s="15">
        <v>1771114</v>
      </c>
      <c r="CN89" s="15">
        <v>202885.00000000026</v>
      </c>
      <c r="CO89" s="15">
        <v>42043.301025117573</v>
      </c>
      <c r="CP89" s="15">
        <v>22693.390048332618</v>
      </c>
      <c r="CQ89" s="15">
        <v>289593</v>
      </c>
      <c r="CR89" s="15">
        <v>390069.72338166594</v>
      </c>
      <c r="CS89" s="15">
        <v>239345.00000000006</v>
      </c>
      <c r="CT89" s="15">
        <v>150724.72338166591</v>
      </c>
      <c r="CU89" s="15">
        <v>248661</v>
      </c>
      <c r="CV89" s="15">
        <v>161940.18572920663</v>
      </c>
      <c r="CW89" s="15">
        <v>749822</v>
      </c>
      <c r="CX89" s="15">
        <v>181999</v>
      </c>
      <c r="CY89" s="15">
        <v>27413</v>
      </c>
      <c r="CZ89" s="15">
        <v>26974</v>
      </c>
      <c r="DA89" s="19">
        <v>0</v>
      </c>
      <c r="DB89" s="19">
        <v>0</v>
      </c>
      <c r="DC89" s="19">
        <v>0.15630481148005937</v>
      </c>
      <c r="DD89" s="19">
        <v>0.13002288190140665</v>
      </c>
      <c r="DE89" s="19">
        <v>0.2888589832182471</v>
      </c>
      <c r="DF89" s="19">
        <v>0.25037123555277813</v>
      </c>
      <c r="DG89" s="19">
        <v>0.17444208784750875</v>
      </c>
      <c r="DH89" s="15">
        <v>152506.69897488249</v>
      </c>
      <c r="DI89" s="15">
        <v>6700797.0185171207</v>
      </c>
      <c r="DJ89" s="15">
        <v>5480269.0185171207</v>
      </c>
      <c r="DK89" s="15">
        <v>7350237.9999999991</v>
      </c>
      <c r="DL89" s="18">
        <v>7.0702798100791261E-2</v>
      </c>
      <c r="DM89" s="15">
        <v>4636736.7545036357</v>
      </c>
      <c r="DN89" s="15">
        <v>3925482.419958435</v>
      </c>
      <c r="DO89" s="15">
        <v>389686.72667071153</v>
      </c>
      <c r="DP89" s="15">
        <v>171101.19609675411</v>
      </c>
      <c r="DQ89" s="15">
        <v>120072.78055495744</v>
      </c>
      <c r="DR89" s="15">
        <v>30393.631222778102</v>
      </c>
      <c r="DS89" s="15">
        <v>4992820.0215036357</v>
      </c>
      <c r="DT89" s="18">
        <f t="shared" si="31"/>
        <v>0.1755711013808855</v>
      </c>
      <c r="DU89" s="18">
        <f t="shared" si="32"/>
        <v>0.198620607022508</v>
      </c>
      <c r="DV89" s="18">
        <f t="shared" si="33"/>
        <v>1.7553028848562628E-2</v>
      </c>
      <c r="DW89" s="18">
        <f t="shared" si="34"/>
        <v>-5.9667358183498033E-2</v>
      </c>
      <c r="DX89" s="18">
        <f t="shared" si="35"/>
        <v>7.5193436399391217E-2</v>
      </c>
      <c r="DY89" s="18">
        <f t="shared" si="36"/>
        <v>0.32862721751222712</v>
      </c>
      <c r="DZ89" s="18">
        <f t="shared" si="37"/>
        <v>-0.13140096719486935</v>
      </c>
      <c r="EA89" s="18">
        <f t="shared" si="38"/>
        <v>6.8196546247389564E-2</v>
      </c>
      <c r="EB89" s="18">
        <f t="shared" si="39"/>
        <v>0.3273063879674033</v>
      </c>
      <c r="EC89" s="18">
        <f t="shared" si="40"/>
        <v>0.67804458735656692</v>
      </c>
      <c r="ED89" s="18">
        <f t="shared" si="41"/>
        <v>6.1192043762726397E-2</v>
      </c>
      <c r="EE89" s="18">
        <f t="shared" si="42"/>
        <v>5.7175800823483176E-2</v>
      </c>
      <c r="EF89" s="18">
        <f t="shared" si="43"/>
        <v>1.8874253610128375E-2</v>
      </c>
      <c r="EG89" s="18">
        <f t="shared" si="44"/>
        <v>7.8508066804797855E-2</v>
      </c>
      <c r="EH89" s="18">
        <f t="shared" si="45"/>
        <v>3.1523865846893873E-2</v>
      </c>
      <c r="EI89" s="18">
        <f t="shared" si="46"/>
        <v>2.3819721465846422E-2</v>
      </c>
      <c r="EJ89" s="18">
        <f t="shared" si="47"/>
        <v>0.10338439937755151</v>
      </c>
      <c r="EK89" s="18">
        <f t="shared" si="48"/>
        <v>-3.9302672920251018E-2</v>
      </c>
      <c r="EL89" s="18">
        <f t="shared" si="49"/>
        <v>-2.3092857673452205E-2</v>
      </c>
      <c r="EM89" s="6">
        <v>1.4752585199821164</v>
      </c>
      <c r="EN89" s="6">
        <v>1.5102004664757462</v>
      </c>
      <c r="EO89" s="6">
        <v>1.5599089652364251</v>
      </c>
      <c r="EP89" s="6">
        <v>1.4493871348019374</v>
      </c>
      <c r="EQ89" s="14">
        <v>194426</v>
      </c>
      <c r="ER89" s="14">
        <v>34401.561000000002</v>
      </c>
      <c r="ES89" s="15">
        <v>272958</v>
      </c>
      <c r="ET89" s="15">
        <v>141363</v>
      </c>
      <c r="EU89" s="15">
        <v>5.15</v>
      </c>
      <c r="EV89" s="6">
        <v>65400</v>
      </c>
      <c r="EW89" s="6">
        <v>0.124</v>
      </c>
      <c r="EX89" s="16">
        <v>0.10688449241591992</v>
      </c>
      <c r="EY89" s="16">
        <f t="shared" si="23"/>
        <v>1.7115507584080078E-2</v>
      </c>
      <c r="EZ89" s="6">
        <v>2.9000000000000001E-2</v>
      </c>
      <c r="FA89" s="20">
        <v>4150</v>
      </c>
      <c r="FB89" s="20">
        <v>6050</v>
      </c>
      <c r="FC89" s="20">
        <v>6900</v>
      </c>
      <c r="GF89" s="17">
        <v>484</v>
      </c>
      <c r="GG89" s="17">
        <v>726</v>
      </c>
      <c r="GI89" s="21">
        <v>101369.38033333333</v>
      </c>
      <c r="GJ89" s="6">
        <v>0.26757258615031004</v>
      </c>
      <c r="GK89" s="6">
        <v>0.66025915893879561</v>
      </c>
      <c r="GL89" s="21">
        <v>623772</v>
      </c>
      <c r="GM89" s="21">
        <v>623772.42267159594</v>
      </c>
    </row>
    <row r="90" spans="1:195" ht="15">
      <c r="A90" s="12">
        <v>1998</v>
      </c>
      <c r="B90" s="13">
        <v>0.95285043338806374</v>
      </c>
      <c r="C90" s="15">
        <f t="shared" si="27"/>
        <v>31118066.41226105</v>
      </c>
      <c r="D90" s="15">
        <v>5100123.9795592101</v>
      </c>
      <c r="E90" s="15">
        <v>1019163.6994729362</v>
      </c>
      <c r="F90" s="15">
        <v>3795709.9704407901</v>
      </c>
      <c r="G90" s="15">
        <v>922631.09915174346</v>
      </c>
      <c r="H90" s="15">
        <v>56339.663636368896</v>
      </c>
      <c r="I90" s="15">
        <v>2071567.0000000005</v>
      </c>
      <c r="J90" s="15">
        <v>1171489.003239668</v>
      </c>
      <c r="K90" s="15">
        <v>900077.99676033261</v>
      </c>
      <c r="L90" s="15">
        <v>996306.5</v>
      </c>
      <c r="M90" s="15">
        <v>2203189.5</v>
      </c>
      <c r="N90" s="15">
        <v>-3897474.5000000005</v>
      </c>
      <c r="O90" s="15">
        <v>-537464.5</v>
      </c>
      <c r="P90" s="15">
        <v>9761549</v>
      </c>
      <c r="Q90" s="15">
        <v>1763443.5</v>
      </c>
      <c r="R90" s="15">
        <v>8629936</v>
      </c>
      <c r="S90" s="15">
        <v>0.48557957496519066</v>
      </c>
      <c r="T90" s="15">
        <v>-1779341.9999999998</v>
      </c>
      <c r="U90" s="15">
        <v>474923</v>
      </c>
      <c r="V90" s="15">
        <v>40721.584950000004</v>
      </c>
      <c r="W90" s="15">
        <v>7133.7501763708187</v>
      </c>
      <c r="X90" s="15">
        <v>6016.0050284683812</v>
      </c>
      <c r="Y90" s="15">
        <v>2764.3734225804001</v>
      </c>
      <c r="Z90" s="15">
        <v>2764.3734225804001</v>
      </c>
      <c r="AA90" s="15">
        <v>8029254</v>
      </c>
      <c r="AB90" s="15">
        <v>221805</v>
      </c>
      <c r="AC90" s="15">
        <v>176534.10546221788</v>
      </c>
      <c r="AD90" s="15">
        <v>107703.07295346708</v>
      </c>
      <c r="AE90" s="15">
        <v>-9208.974837004962</v>
      </c>
      <c r="AF90" s="15">
        <v>113787</v>
      </c>
      <c r="AG90" s="15">
        <v>117220</v>
      </c>
      <c r="AH90" s="15">
        <v>2205651.2035786798</v>
      </c>
      <c r="AI90" s="15">
        <v>587307</v>
      </c>
      <c r="AJ90" s="15">
        <v>446173.22839584405</v>
      </c>
      <c r="AK90" s="15">
        <v>141133.77160415603</v>
      </c>
      <c r="AL90" s="15">
        <f t="shared" si="28"/>
        <v>572607.71789059136</v>
      </c>
      <c r="AM90" s="15">
        <v>374119.36761076824</v>
      </c>
      <c r="AN90" s="15">
        <v>198488.35027982309</v>
      </c>
      <c r="AO90" s="15">
        <v>468577.17540589056</v>
      </c>
      <c r="AP90" s="15">
        <v>193851.8727097247</v>
      </c>
      <c r="AQ90" s="15">
        <v>91751.490915812625</v>
      </c>
      <c r="AR90" s="15">
        <f t="shared" si="25"/>
        <v>102100.38179391208</v>
      </c>
      <c r="AS90" s="15">
        <v>769853.33945601131</v>
      </c>
      <c r="AT90" s="15">
        <v>370208.72841061454</v>
      </c>
      <c r="AU90" s="15">
        <f t="shared" si="29"/>
        <v>399644.61104539677</v>
      </c>
      <c r="AV90" s="15">
        <v>-300467.99999999994</v>
      </c>
      <c r="AW90" s="15">
        <v>-184571.99999999994</v>
      </c>
      <c r="AX90" s="15">
        <v>5823602.7964213202</v>
      </c>
      <c r="AY90" s="15">
        <v>5071138</v>
      </c>
      <c r="AZ90" s="15">
        <v>461986.89453778218</v>
      </c>
      <c r="BA90" s="15">
        <v>87548.916327931045</v>
      </c>
      <c r="BB90" s="15">
        <f t="shared" si="26"/>
        <v>374437.97820985114</v>
      </c>
      <c r="BC90" s="15">
        <v>317636.92704653292</v>
      </c>
      <c r="BD90" s="15">
        <v>-27159.02516299504</v>
      </c>
      <c r="BE90" s="15">
        <f t="shared" si="30"/>
        <v>425340</v>
      </c>
      <c r="BF90" s="15">
        <v>4181616</v>
      </c>
      <c r="BG90" s="15">
        <v>889521.99999999988</v>
      </c>
      <c r="BH90" s="15">
        <v>353560.05490361998</v>
      </c>
      <c r="BI90" s="15">
        <v>56162.945096380048</v>
      </c>
      <c r="BJ90" s="15">
        <v>118406</v>
      </c>
      <c r="BK90" s="15">
        <v>29367</v>
      </c>
      <c r="BL90" s="15">
        <v>20371.018534120012</v>
      </c>
      <c r="BM90" s="15">
        <v>3235.9322825679556</v>
      </c>
      <c r="BN90" s="15">
        <v>6933.0491833120313</v>
      </c>
      <c r="BO90" s="15">
        <v>7330535.1154411873</v>
      </c>
      <c r="BP90" s="15">
        <v>881138.87150105578</v>
      </c>
      <c r="BQ90" s="15">
        <v>636852.01305775705</v>
      </c>
      <c r="BR90" s="15">
        <v>749307</v>
      </c>
      <c r="BS90" s="15">
        <v>69965.000000000029</v>
      </c>
      <c r="BT90" s="15">
        <v>385711</v>
      </c>
      <c r="BU90" s="15">
        <v>19693</v>
      </c>
      <c r="BV90" s="15">
        <v>30322.000000000004</v>
      </c>
      <c r="BW90" s="15">
        <v>16465</v>
      </c>
      <c r="BX90" s="15">
        <v>12713.000000000024</v>
      </c>
      <c r="BY90" s="15">
        <v>23266</v>
      </c>
      <c r="BZ90" s="15">
        <v>125063.00000000003</v>
      </c>
      <c r="CA90" s="15">
        <v>17429</v>
      </c>
      <c r="CB90" s="15">
        <v>18942</v>
      </c>
      <c r="CC90" s="15">
        <v>205558</v>
      </c>
      <c r="CD90" s="15">
        <v>170195</v>
      </c>
      <c r="CE90" s="15">
        <v>34.059999999999995</v>
      </c>
      <c r="CF90" s="15">
        <v>36644.999999999993</v>
      </c>
      <c r="CG90" s="15">
        <v>412397.99999999994</v>
      </c>
      <c r="CH90" s="15">
        <v>1267607</v>
      </c>
      <c r="CI90" s="15">
        <v>424270</v>
      </c>
      <c r="CJ90" s="15">
        <v>42470.99999999992</v>
      </c>
      <c r="CK90" s="15">
        <v>245921.00000000003</v>
      </c>
      <c r="CL90" s="15">
        <v>2567617</v>
      </c>
      <c r="CM90" s="15">
        <v>1828333.9999999998</v>
      </c>
      <c r="CN90" s="15">
        <v>297519.00000000035</v>
      </c>
      <c r="CO90" s="15">
        <v>57292.950816687917</v>
      </c>
      <c r="CP90" s="15">
        <v>4573.9206843677493</v>
      </c>
      <c r="CQ90" s="15">
        <v>307237</v>
      </c>
      <c r="CR90" s="15">
        <v>418441.92068436783</v>
      </c>
      <c r="CS90" s="15">
        <v>256814.00000000003</v>
      </c>
      <c r="CT90" s="15">
        <v>161627.92068436774</v>
      </c>
      <c r="CU90" s="15">
        <v>268789</v>
      </c>
      <c r="CV90" s="15">
        <v>192803.51160286518</v>
      </c>
      <c r="CW90" s="15">
        <v>831199</v>
      </c>
      <c r="CX90" s="15">
        <v>201222</v>
      </c>
      <c r="CY90" s="15">
        <v>29192</v>
      </c>
      <c r="CZ90" s="15">
        <v>32393</v>
      </c>
      <c r="DA90" s="19">
        <v>0</v>
      </c>
      <c r="DB90" s="19">
        <v>0</v>
      </c>
      <c r="DC90" s="19">
        <v>0.17914420027675693</v>
      </c>
      <c r="DD90" s="19">
        <v>0.11917773005150711</v>
      </c>
      <c r="DE90" s="19">
        <v>0.28899034788412881</v>
      </c>
      <c r="DF90" s="19">
        <v>0.2385943727046112</v>
      </c>
      <c r="DG90" s="19">
        <v>0.17409334908299595</v>
      </c>
      <c r="DH90" s="15">
        <v>161954.04918331193</v>
      </c>
      <c r="DI90" s="15">
        <v>7090317.0662578754</v>
      </c>
      <c r="DJ90" s="15">
        <v>5822710.0662578754</v>
      </c>
      <c r="DK90" s="15">
        <v>7825803.9999999991</v>
      </c>
      <c r="DL90" s="18">
        <v>5.8813684011751299E-2</v>
      </c>
      <c r="DM90" s="15">
        <v>4992745.3425246943</v>
      </c>
      <c r="DN90" s="15">
        <v>4244428.9763801955</v>
      </c>
      <c r="DO90" s="15">
        <v>420094.82595262496</v>
      </c>
      <c r="DP90" s="15">
        <v>178064.12208779488</v>
      </c>
      <c r="DQ90" s="15">
        <v>118300.70084763387</v>
      </c>
      <c r="DR90" s="15">
        <v>31856.717256446307</v>
      </c>
      <c r="DS90" s="15">
        <v>5438829.181524694</v>
      </c>
      <c r="DT90" s="18">
        <f t="shared" si="31"/>
        <v>0.19591289506205026</v>
      </c>
      <c r="DU90" s="18">
        <f t="shared" si="32"/>
        <v>0.18618908887021862</v>
      </c>
      <c r="DV90" s="18">
        <f t="shared" si="33"/>
        <v>1.5261970127195056E-2</v>
      </c>
      <c r="DW90" s="18">
        <f t="shared" si="34"/>
        <v>-5.7180352288820513E-2</v>
      </c>
      <c r="DX90" s="18">
        <f t="shared" si="35"/>
        <v>7.0800976860564371E-2</v>
      </c>
      <c r="DY90" s="18">
        <f t="shared" si="36"/>
        <v>0.31369394456185695</v>
      </c>
      <c r="DZ90" s="18">
        <f t="shared" si="37"/>
        <v>-0.12524796522910978</v>
      </c>
      <c r="EA90" s="18">
        <f t="shared" si="38"/>
        <v>6.657119926910908E-2</v>
      </c>
      <c r="EB90" s="18">
        <f t="shared" si="39"/>
        <v>0.3339982427669359</v>
      </c>
      <c r="EC90" s="18">
        <f t="shared" si="40"/>
        <v>0.68520166239600355</v>
      </c>
      <c r="ED90" s="18">
        <f t="shared" si="41"/>
        <v>6.2422712247715513E-2</v>
      </c>
      <c r="EE90" s="18">
        <f t="shared" si="42"/>
        <v>5.701308496811882E-2</v>
      </c>
      <c r="EF90" s="18">
        <f t="shared" si="43"/>
        <v>1.8034411749151404E-2</v>
      </c>
      <c r="EG90" s="18">
        <f t="shared" si="44"/>
        <v>7.3169187203077329E-2</v>
      </c>
      <c r="EH90" s="18">
        <f t="shared" si="45"/>
        <v>3.387858620096932E-2</v>
      </c>
      <c r="EI90" s="18">
        <f t="shared" si="46"/>
        <v>2.4770857117009923E-2</v>
      </c>
      <c r="EJ90" s="18">
        <f t="shared" si="47"/>
        <v>9.8373705686471496E-2</v>
      </c>
      <c r="EK90" s="18">
        <f t="shared" si="48"/>
        <v>-3.8394521508588762E-2</v>
      </c>
      <c r="EL90" s="18">
        <f t="shared" si="49"/>
        <v>-2.3585052730684279E-2</v>
      </c>
      <c r="EM90" s="6">
        <v>1.4591595104276625</v>
      </c>
      <c r="EN90" s="6">
        <v>1.4906383412743514</v>
      </c>
      <c r="EO90" s="6">
        <v>1.5384333724734705</v>
      </c>
      <c r="EP90" s="6">
        <v>1.4379500331139825</v>
      </c>
      <c r="EQ90" s="14">
        <v>196795</v>
      </c>
      <c r="ER90" s="14">
        <v>34619.159</v>
      </c>
      <c r="ES90" s="15">
        <v>276154</v>
      </c>
      <c r="ET90" s="15">
        <v>143524</v>
      </c>
      <c r="EU90" s="15">
        <v>5.15</v>
      </c>
      <c r="EV90" s="6">
        <v>68400</v>
      </c>
      <c r="EW90" s="6">
        <v>0.124</v>
      </c>
      <c r="EX90" s="16">
        <v>0.10700265010274962</v>
      </c>
      <c r="EY90" s="16">
        <f t="shared" si="23"/>
        <v>1.699734989725038E-2</v>
      </c>
      <c r="EZ90" s="6">
        <v>2.9000000000000001E-2</v>
      </c>
      <c r="FA90" s="20">
        <v>4250</v>
      </c>
      <c r="FB90" s="20">
        <v>6250</v>
      </c>
      <c r="FC90" s="20">
        <v>7100</v>
      </c>
      <c r="GF90" s="17">
        <v>494</v>
      </c>
      <c r="GG90" s="17">
        <v>741</v>
      </c>
      <c r="GI90" s="21">
        <v>102548.842</v>
      </c>
      <c r="GJ90" s="6">
        <v>0.27621047041976293</v>
      </c>
      <c r="GK90" s="6">
        <v>0.75548010645762953</v>
      </c>
      <c r="GL90" s="21">
        <v>737692</v>
      </c>
      <c r="GM90" s="21">
        <v>737691.91685100424</v>
      </c>
    </row>
    <row r="91" spans="1:195" ht="15">
      <c r="A91" s="12">
        <v>1999</v>
      </c>
      <c r="B91" s="13">
        <v>0.96074561304028971</v>
      </c>
      <c r="C91" s="15">
        <f t="shared" si="27"/>
        <v>34799904.394895889</v>
      </c>
      <c r="D91" s="15">
        <v>6250870.0221540555</v>
      </c>
      <c r="E91" s="15">
        <v>1043608.4361661606</v>
      </c>
      <c r="F91" s="15">
        <v>3757758.3278459441</v>
      </c>
      <c r="G91" s="15">
        <v>1080819.5087297254</v>
      </c>
      <c r="H91" s="15">
        <v>51066.599999999569</v>
      </c>
      <c r="I91" s="15">
        <v>2186797</v>
      </c>
      <c r="J91" s="15">
        <v>1196284.9841478146</v>
      </c>
      <c r="K91" s="15">
        <v>990512.01585218543</v>
      </c>
      <c r="L91" s="15">
        <v>1222467.5</v>
      </c>
      <c r="M91" s="15">
        <v>2333891</v>
      </c>
      <c r="N91" s="15">
        <v>-4236426.5</v>
      </c>
      <c r="O91" s="15">
        <v>-627781</v>
      </c>
      <c r="P91" s="15">
        <v>10694407</v>
      </c>
      <c r="Q91" s="15">
        <v>2182712</v>
      </c>
      <c r="R91" s="15">
        <v>9696340</v>
      </c>
      <c r="S91" s="15">
        <v>0.51700539255007483</v>
      </c>
      <c r="T91" s="15">
        <v>-1935262</v>
      </c>
      <c r="U91" s="15">
        <v>470855.5</v>
      </c>
      <c r="V91" s="15">
        <v>44139.571654512416</v>
      </c>
      <c r="W91" s="15">
        <v>6592.199091996179</v>
      </c>
      <c r="X91" s="15">
        <v>5374.4299041452277</v>
      </c>
      <c r="Y91" s="15">
        <v>2762.953744442269</v>
      </c>
      <c r="Z91" s="15">
        <v>2762.953744442269</v>
      </c>
      <c r="AA91" s="15">
        <v>8477074</v>
      </c>
      <c r="AB91" s="15">
        <v>227386</v>
      </c>
      <c r="AC91" s="15">
        <v>197048.71230718907</v>
      </c>
      <c r="AD91" s="15">
        <v>110296.59777927307</v>
      </c>
      <c r="AE91" s="15">
        <v>-11139.977813430703</v>
      </c>
      <c r="AF91" s="15">
        <v>117794</v>
      </c>
      <c r="AG91" s="15">
        <v>125006.99999999999</v>
      </c>
      <c r="AH91" s="15">
        <v>2271813.3322730316</v>
      </c>
      <c r="AI91" s="15">
        <v>621645</v>
      </c>
      <c r="AJ91" s="15">
        <v>479354.77022969094</v>
      </c>
      <c r="AK91" s="15">
        <v>142290.22977030903</v>
      </c>
      <c r="AL91" s="15">
        <f t="shared" si="28"/>
        <v>603330.51312536804</v>
      </c>
      <c r="AM91" s="15">
        <v>385752.22865852655</v>
      </c>
      <c r="AN91" s="15">
        <v>217578.28446684152</v>
      </c>
      <c r="AO91" s="15">
        <v>454238.98458080902</v>
      </c>
      <c r="AP91" s="15">
        <v>215401.11468560042</v>
      </c>
      <c r="AQ91" s="15">
        <v>107206.03229583371</v>
      </c>
      <c r="AR91" s="15">
        <f t="shared" si="25"/>
        <v>108195.08238976671</v>
      </c>
      <c r="AS91" s="15">
        <v>785963.09991541132</v>
      </c>
      <c r="AT91" s="15">
        <v>379004.90607861587</v>
      </c>
      <c r="AU91" s="15">
        <f t="shared" si="29"/>
        <v>406958.19383679546</v>
      </c>
      <c r="AV91" s="15">
        <v>-317145</v>
      </c>
      <c r="AW91" s="15">
        <v>-190776.99999999997</v>
      </c>
      <c r="AX91" s="15">
        <v>6205260.6677269684</v>
      </c>
      <c r="AY91" s="15">
        <v>5402682</v>
      </c>
      <c r="AZ91" s="15">
        <v>499331.28769281093</v>
      </c>
      <c r="BA91" s="15">
        <v>101899.18754700662</v>
      </c>
      <c r="BB91" s="15">
        <f t="shared" si="26"/>
        <v>397432.10014580435</v>
      </c>
      <c r="BC91" s="15">
        <v>337316.40222072689</v>
      </c>
      <c r="BD91" s="15">
        <v>-34069.022186569302</v>
      </c>
      <c r="BE91" s="15">
        <f t="shared" si="30"/>
        <v>447612.99999999994</v>
      </c>
      <c r="BF91" s="15">
        <v>4457927</v>
      </c>
      <c r="BG91" s="15">
        <v>944755.00000000012</v>
      </c>
      <c r="BH91" s="15">
        <v>376209.89599068661</v>
      </c>
      <c r="BI91" s="15">
        <v>59991.104009313363</v>
      </c>
      <c r="BJ91" s="15">
        <v>126511</v>
      </c>
      <c r="BK91" s="15">
        <v>28694</v>
      </c>
      <c r="BL91" s="15">
        <v>21582.327834863481</v>
      </c>
      <c r="BM91" s="15">
        <v>3441.5566621257785</v>
      </c>
      <c r="BN91" s="15">
        <v>7366.1155030107411</v>
      </c>
      <c r="BO91" s="15">
        <v>7755782.8531476213</v>
      </c>
      <c r="BP91" s="15">
        <v>943395.23048405885</v>
      </c>
      <c r="BQ91" s="15">
        <v>651965.48003498768</v>
      </c>
      <c r="BR91" s="15">
        <v>799956.56366666663</v>
      </c>
      <c r="BS91" s="15">
        <v>74113.000000000058</v>
      </c>
      <c r="BT91" s="15">
        <v>396866.99999999994</v>
      </c>
      <c r="BU91" s="15">
        <v>20509</v>
      </c>
      <c r="BV91" s="15">
        <v>31023</v>
      </c>
      <c r="BW91" s="15">
        <v>15473</v>
      </c>
      <c r="BX91" s="15">
        <v>13269.999999999965</v>
      </c>
      <c r="BY91" s="15">
        <v>24139</v>
      </c>
      <c r="BZ91" s="15">
        <v>128275</v>
      </c>
      <c r="CA91" s="15">
        <v>17920</v>
      </c>
      <c r="CB91" s="15">
        <v>19848</v>
      </c>
      <c r="CC91" s="15">
        <v>208736</v>
      </c>
      <c r="CD91" s="15">
        <v>184555</v>
      </c>
      <c r="CE91" s="15">
        <v>34.279999999999994</v>
      </c>
      <c r="CF91" s="15">
        <v>37862</v>
      </c>
      <c r="CG91" s="15">
        <v>431153</v>
      </c>
      <c r="CH91" s="15">
        <v>1351427</v>
      </c>
      <c r="CI91" s="15">
        <v>452571</v>
      </c>
      <c r="CJ91" s="15">
        <v>45026.999999999985</v>
      </c>
      <c r="CK91" s="15">
        <v>230753.99999999997</v>
      </c>
      <c r="CL91" s="15">
        <v>2727704</v>
      </c>
      <c r="CM91" s="15">
        <v>1934994</v>
      </c>
      <c r="CN91" s="15">
        <v>330134.00000000029</v>
      </c>
      <c r="CO91" s="15">
        <v>72542.884496989296</v>
      </c>
      <c r="CP91" s="15">
        <v>-3217.2176795970131</v>
      </c>
      <c r="CQ91" s="15">
        <v>323339</v>
      </c>
      <c r="CR91" s="15">
        <v>453476.34598706965</v>
      </c>
      <c r="CS91" s="15">
        <v>268909</v>
      </c>
      <c r="CT91" s="15">
        <v>184567.34598706965</v>
      </c>
      <c r="CU91" s="15">
        <v>294847</v>
      </c>
      <c r="CV91" s="15">
        <v>195175.19828701843</v>
      </c>
      <c r="CW91" s="15">
        <v>897427</v>
      </c>
      <c r="CX91" s="15">
        <v>214487</v>
      </c>
      <c r="CY91" s="15">
        <v>30741</v>
      </c>
      <c r="CZ91" s="15">
        <v>36705</v>
      </c>
      <c r="DA91" s="19">
        <v>0</v>
      </c>
      <c r="DB91" s="19">
        <v>0</v>
      </c>
      <c r="DC91" s="19">
        <v>0.16722871952299667</v>
      </c>
      <c r="DD91" s="19">
        <v>0.12480691034848268</v>
      </c>
      <c r="DE91" s="19">
        <v>0.29451794027284622</v>
      </c>
      <c r="DF91" s="19">
        <v>0.23319082502303354</v>
      </c>
      <c r="DG91" s="19">
        <v>0.18025560483264089</v>
      </c>
      <c r="DH91" s="15">
        <v>171366.11550301078</v>
      </c>
      <c r="DI91" s="15">
        <v>7498200.7376446109</v>
      </c>
      <c r="DJ91" s="15">
        <v>6146773.7376446109</v>
      </c>
      <c r="DK91" s="15">
        <v>8291347</v>
      </c>
      <c r="DL91" s="18">
        <v>3.0249663067250531E-2</v>
      </c>
      <c r="DM91" s="15">
        <v>5350790.054969117</v>
      </c>
      <c r="DN91" s="15">
        <v>4557583.2185896821</v>
      </c>
      <c r="DO91" s="15">
        <v>449036.4037124319</v>
      </c>
      <c r="DP91" s="15">
        <v>175936.06377077705</v>
      </c>
      <c r="DQ91" s="15">
        <v>132662.19563252086</v>
      </c>
      <c r="DR91" s="15">
        <v>35572.173263704048</v>
      </c>
      <c r="DS91" s="15">
        <v>5881585.9909691168</v>
      </c>
      <c r="DT91" s="18">
        <f t="shared" si="31"/>
        <v>0.21475166820430036</v>
      </c>
      <c r="DU91" s="18">
        <f t="shared" si="32"/>
        <v>0.17049624060496157</v>
      </c>
      <c r="DV91" s="18">
        <f t="shared" si="33"/>
        <v>1.3530367631385232E-2</v>
      </c>
      <c r="DW91" s="18">
        <f t="shared" si="34"/>
        <v>-5.5611129790455557E-2</v>
      </c>
      <c r="DX91" s="18">
        <f t="shared" si="35"/>
        <v>6.7066017581999801E-2</v>
      </c>
      <c r="DY91" s="18">
        <f t="shared" si="36"/>
        <v>0.30731139024532927</v>
      </c>
      <c r="DZ91" s="18">
        <f t="shared" si="37"/>
        <v>-0.12173672812220018</v>
      </c>
      <c r="EA91" s="18">
        <f t="shared" si="38"/>
        <v>6.2839166889226805E-2</v>
      </c>
      <c r="EB91" s="18">
        <f t="shared" si="39"/>
        <v>0.34135300675545255</v>
      </c>
      <c r="EC91" s="18">
        <f t="shared" si="40"/>
        <v>0.68884588191372209</v>
      </c>
      <c r="ED91" s="18">
        <f t="shared" si="41"/>
        <v>6.3665102117405545E-2</v>
      </c>
      <c r="EE91" s="18">
        <f t="shared" si="42"/>
        <v>5.7813859464534649E-2</v>
      </c>
      <c r="EF91" s="18">
        <f t="shared" si="43"/>
        <v>1.7161292341317885E-2</v>
      </c>
      <c r="EG91" s="18">
        <f t="shared" si="44"/>
        <v>7.276628431126668E-2</v>
      </c>
      <c r="EH91" s="18">
        <f t="shared" si="45"/>
        <v>3.2384603440286486E-2</v>
      </c>
      <c r="EI91" s="18">
        <f t="shared" si="46"/>
        <v>2.5979025444912679E-2</v>
      </c>
      <c r="EJ91" s="18">
        <f t="shared" si="47"/>
        <v>9.4793174126642066E-2</v>
      </c>
      <c r="EK91" s="18">
        <f t="shared" si="48"/>
        <v>-3.8250117863840458E-2</v>
      </c>
      <c r="EL91" s="18">
        <f t="shared" si="49"/>
        <v>-2.3009168474073027E-2</v>
      </c>
      <c r="EM91" s="6">
        <v>1.4390017444150582</v>
      </c>
      <c r="EN91" s="6">
        <v>1.467713010917751</v>
      </c>
      <c r="EO91" s="6">
        <v>1.5069982810865992</v>
      </c>
      <c r="EP91" s="6">
        <v>1.4172997597255592</v>
      </c>
      <c r="EQ91" s="14">
        <v>199255</v>
      </c>
      <c r="ER91" s="14">
        <v>34797.841</v>
      </c>
      <c r="ES91" s="15">
        <v>279328</v>
      </c>
      <c r="ET91" s="15">
        <v>145936</v>
      </c>
      <c r="EU91" s="15">
        <v>5.15</v>
      </c>
      <c r="EV91" s="6">
        <v>72600</v>
      </c>
      <c r="EW91" s="6">
        <v>0.124</v>
      </c>
      <c r="EX91" s="16">
        <v>0.10694617184014972</v>
      </c>
      <c r="EY91" s="16">
        <f t="shared" si="23"/>
        <v>1.7053828159850279E-2</v>
      </c>
      <c r="EZ91" s="6">
        <v>2.9000000000000001E-2</v>
      </c>
      <c r="FA91" s="20">
        <v>4300</v>
      </c>
      <c r="FB91" s="20">
        <v>6350</v>
      </c>
      <c r="FC91" s="20">
        <v>7200</v>
      </c>
      <c r="GF91" s="17">
        <v>500</v>
      </c>
      <c r="GG91" s="17">
        <v>751</v>
      </c>
      <c r="GI91" s="21">
        <v>103864.49766666666</v>
      </c>
      <c r="GJ91" s="6">
        <v>0.25020468968643683</v>
      </c>
      <c r="GK91" s="6">
        <v>0.72304550238318988</v>
      </c>
      <c r="GL91" s="21">
        <v>999275</v>
      </c>
      <c r="GM91" s="21">
        <v>999274.52715722576</v>
      </c>
    </row>
    <row r="92" spans="1:195" ht="15">
      <c r="A92" s="12">
        <v>2000</v>
      </c>
      <c r="B92" s="13">
        <v>0.96207791155101763</v>
      </c>
      <c r="C92" s="15">
        <f t="shared" si="27"/>
        <v>36865462.971493192</v>
      </c>
      <c r="D92" s="15">
        <v>6328552.3586619915</v>
      </c>
      <c r="E92" s="15">
        <v>1092104.7866059858</v>
      </c>
      <c r="F92" s="15">
        <v>3729238.2413380072</v>
      </c>
      <c r="G92" s="15">
        <v>1216638.9485235712</v>
      </c>
      <c r="H92" s="15">
        <v>37250.136363637299</v>
      </c>
      <c r="I92" s="15">
        <v>2347013</v>
      </c>
      <c r="J92" s="15">
        <v>1245617.0884069283</v>
      </c>
      <c r="K92" s="15">
        <v>1101395.41159307</v>
      </c>
      <c r="L92" s="15">
        <v>1291895</v>
      </c>
      <c r="M92" s="15">
        <v>2508959.0000000005</v>
      </c>
      <c r="N92" s="15">
        <v>-4614745</v>
      </c>
      <c r="O92" s="15">
        <v>-707224.99999999988</v>
      </c>
      <c r="P92" s="15">
        <v>12015050.5</v>
      </c>
      <c r="Q92" s="15">
        <v>2394504</v>
      </c>
      <c r="R92" s="15">
        <v>10224494.999999998</v>
      </c>
      <c r="S92" s="15">
        <v>0.53162541592161661</v>
      </c>
      <c r="T92" s="15">
        <v>-2111462.5</v>
      </c>
      <c r="U92" s="15">
        <v>405969.50000000006</v>
      </c>
      <c r="V92" s="15">
        <v>43604.032509128236</v>
      </c>
      <c r="W92" s="15">
        <v>8455.1092992914018</v>
      </c>
      <c r="X92" s="15">
        <v>6662.0927195897011</v>
      </c>
      <c r="Y92" s="15">
        <v>3804.3099548324785</v>
      </c>
      <c r="Z92" s="15">
        <v>3804.3099548324785</v>
      </c>
      <c r="AA92" s="15">
        <v>9046624</v>
      </c>
      <c r="AB92" s="15">
        <v>233448</v>
      </c>
      <c r="AC92" s="15">
        <v>217621.35807510547</v>
      </c>
      <c r="AD92" s="15">
        <v>110435.25828711958</v>
      </c>
      <c r="AE92" s="15">
        <v>-10878.8012229345</v>
      </c>
      <c r="AF92" s="15">
        <v>121862</v>
      </c>
      <c r="AG92" s="15">
        <v>132807.00000000003</v>
      </c>
      <c r="AH92" s="15">
        <v>2341185.8151392909</v>
      </c>
      <c r="AI92" s="15">
        <v>657168</v>
      </c>
      <c r="AJ92" s="15">
        <v>514346.97125008859</v>
      </c>
      <c r="AK92" s="15">
        <v>142821.02874991141</v>
      </c>
      <c r="AL92" s="15">
        <f t="shared" si="28"/>
        <v>593201.65664226445</v>
      </c>
      <c r="AM92" s="15">
        <v>363877.95198418701</v>
      </c>
      <c r="AN92" s="15">
        <v>229323.70465807751</v>
      </c>
      <c r="AO92" s="15">
        <v>488186.73168975377</v>
      </c>
      <c r="AP92" s="15">
        <v>236956.87547777695</v>
      </c>
      <c r="AQ92" s="15">
        <v>121501.40972435115</v>
      </c>
      <c r="AR92" s="15">
        <f t="shared" si="25"/>
        <v>115455.4657534258</v>
      </c>
      <c r="AS92" s="15">
        <v>830922.09426530986</v>
      </c>
      <c r="AT92" s="15">
        <v>385728.74618891702</v>
      </c>
      <c r="AU92" s="15">
        <f t="shared" si="29"/>
        <v>445193.34807639284</v>
      </c>
      <c r="AV92" s="15">
        <v>-347061</v>
      </c>
      <c r="AW92" s="15">
        <v>-217745</v>
      </c>
      <c r="AX92" s="15">
        <v>6705438.1848607091</v>
      </c>
      <c r="AY92" s="15">
        <v>5847146</v>
      </c>
      <c r="AZ92" s="15">
        <v>538347.64192489441</v>
      </c>
      <c r="BA92" s="15">
        <v>112929.17696224406</v>
      </c>
      <c r="BB92" s="15">
        <f t="shared" si="26"/>
        <v>425418.46496265032</v>
      </c>
      <c r="BC92" s="15">
        <v>354905.74171288038</v>
      </c>
      <c r="BD92" s="15">
        <v>-34961.198777065503</v>
      </c>
      <c r="BE92" s="15">
        <f t="shared" si="30"/>
        <v>465340.99999999994</v>
      </c>
      <c r="BF92" s="15">
        <v>4824947</v>
      </c>
      <c r="BG92" s="15">
        <v>1022198.9999999997</v>
      </c>
      <c r="BH92" s="15">
        <v>399430.75884852873</v>
      </c>
      <c r="BI92" s="15">
        <v>67388.241151471215</v>
      </c>
      <c r="BJ92" s="15">
        <v>136464</v>
      </c>
      <c r="BK92" s="15">
        <v>29309</v>
      </c>
      <c r="BL92" s="15">
        <v>22552.33265555941</v>
      </c>
      <c r="BM92" s="15">
        <v>3804.8197287113721</v>
      </c>
      <c r="BN92" s="15">
        <v>7815.8476157292189</v>
      </c>
      <c r="BO92" s="15">
        <v>8292283.7754732696</v>
      </c>
      <c r="BP92" s="15">
        <v>1003182.5736740422</v>
      </c>
      <c r="BQ92" s="15">
        <v>686366.03468602127</v>
      </c>
      <c r="BR92" s="15">
        <v>856834.38383333327</v>
      </c>
      <c r="BS92" s="15">
        <v>78374.000000000029</v>
      </c>
      <c r="BT92" s="15">
        <v>418873.99999999994</v>
      </c>
      <c r="BU92" s="15">
        <v>20741</v>
      </c>
      <c r="BV92" s="15">
        <v>31674.999999999996</v>
      </c>
      <c r="BW92" s="15">
        <v>14565</v>
      </c>
      <c r="BX92" s="15">
        <v>13548.999999999982</v>
      </c>
      <c r="BY92" s="15">
        <v>25004</v>
      </c>
      <c r="BZ92" s="15">
        <v>130205.99999999997</v>
      </c>
      <c r="CA92" s="15">
        <v>18440</v>
      </c>
      <c r="CB92" s="15">
        <v>20698.999999999996</v>
      </c>
      <c r="CC92" s="15">
        <v>219117</v>
      </c>
      <c r="CD92" s="15">
        <v>199493</v>
      </c>
      <c r="CE92" s="15">
        <v>34.5</v>
      </c>
      <c r="CF92" s="15">
        <v>40347</v>
      </c>
      <c r="CG92" s="15">
        <v>458957</v>
      </c>
      <c r="CH92" s="15">
        <v>1437588</v>
      </c>
      <c r="CI92" s="15">
        <v>487914</v>
      </c>
      <c r="CJ92" s="15">
        <v>48093.000000000036</v>
      </c>
      <c r="CK92" s="15">
        <v>221886</v>
      </c>
      <c r="CL92" s="15">
        <v>2931268.0000000005</v>
      </c>
      <c r="CM92" s="15">
        <v>2051755</v>
      </c>
      <c r="CN92" s="15">
        <v>394067.00000000012</v>
      </c>
      <c r="CO92" s="15">
        <v>82870.152384270827</v>
      </c>
      <c r="CP92" s="15">
        <v>-14895.962543561893</v>
      </c>
      <c r="CQ92" s="15">
        <v>345220</v>
      </c>
      <c r="CR92" s="15">
        <v>480697.42128977145</v>
      </c>
      <c r="CS92" s="15">
        <v>284585</v>
      </c>
      <c r="CT92" s="15">
        <v>196112.42128977148</v>
      </c>
      <c r="CU92" s="15">
        <v>329199</v>
      </c>
      <c r="CV92" s="15">
        <v>232625.46022316156</v>
      </c>
      <c r="CW92" s="15">
        <v>999621</v>
      </c>
      <c r="CX92" s="15">
        <v>236709</v>
      </c>
      <c r="CY92" s="15">
        <v>31278</v>
      </c>
      <c r="CZ92" s="15">
        <v>35640</v>
      </c>
      <c r="DA92" s="19">
        <v>0</v>
      </c>
      <c r="DB92" s="19">
        <v>0</v>
      </c>
      <c r="DC92" s="19">
        <v>0.15531323876923653</v>
      </c>
      <c r="DD92" s="19">
        <v>0.13043609064545825</v>
      </c>
      <c r="DE92" s="19">
        <v>0.30004553266156347</v>
      </c>
      <c r="DF92" s="19">
        <v>0.2277872773414559</v>
      </c>
      <c r="DG92" s="19">
        <v>0.18641786058228585</v>
      </c>
      <c r="DH92" s="15">
        <v>183354.84761572932</v>
      </c>
      <c r="DI92" s="15">
        <v>7981095.9278575405</v>
      </c>
      <c r="DJ92" s="15">
        <v>6543507.9278575405</v>
      </c>
      <c r="DK92" s="15">
        <v>8872831</v>
      </c>
      <c r="DL92" s="18">
        <v>2.2933309443236797E-2</v>
      </c>
      <c r="DM92" s="15">
        <v>5712242.5007777316</v>
      </c>
      <c r="DN92" s="15">
        <v>4864796.3999733385</v>
      </c>
      <c r="DO92" s="15">
        <v>460734.04290979664</v>
      </c>
      <c r="DP92" s="15">
        <v>199958.13696418967</v>
      </c>
      <c r="DQ92" s="15">
        <v>147457.03490007055</v>
      </c>
      <c r="DR92" s="15">
        <v>39296.88603033674</v>
      </c>
      <c r="DS92" s="15">
        <v>6326982.1127777323</v>
      </c>
      <c r="DT92" s="18">
        <f t="shared" si="31"/>
        <v>0.20670966114150321</v>
      </c>
      <c r="DU92" s="18">
        <f t="shared" si="32"/>
        <v>0.16479467835597161</v>
      </c>
      <c r="DV92" s="18">
        <f t="shared" si="33"/>
        <v>1.1012190469815135E-2</v>
      </c>
      <c r="DW92" s="18">
        <f t="shared" si="34"/>
        <v>-5.7274813058301267E-2</v>
      </c>
      <c r="DX92" s="18">
        <f t="shared" si="35"/>
        <v>6.8057167814224745E-2</v>
      </c>
      <c r="DY92" s="18">
        <f t="shared" si="36"/>
        <v>0.32591617008284501</v>
      </c>
      <c r="DZ92" s="18">
        <f t="shared" si="37"/>
        <v>-0.12517800206573901</v>
      </c>
      <c r="EA92" s="18">
        <f t="shared" si="38"/>
        <v>6.3664275742715215E-2</v>
      </c>
      <c r="EB92" s="18">
        <f t="shared" si="39"/>
        <v>0.34229867151696536</v>
      </c>
      <c r="EC92" s="18">
        <f t="shared" si="40"/>
        <v>0.69562131627945711</v>
      </c>
      <c r="ED92" s="18">
        <f t="shared" si="41"/>
        <v>6.4045962815318255E-2</v>
      </c>
      <c r="EE92" s="18">
        <f t="shared" si="42"/>
        <v>5.7968755547140323E-2</v>
      </c>
      <c r="EF92" s="18">
        <f t="shared" si="43"/>
        <v>1.6096444161949146E-2</v>
      </c>
      <c r="EG92" s="18">
        <f t="shared" si="44"/>
        <v>6.6855962504218158E-2</v>
      </c>
      <c r="EH92" s="18">
        <f t="shared" si="45"/>
        <v>3.5433305524443529E-2</v>
      </c>
      <c r="EI92" s="18">
        <f t="shared" si="46"/>
        <v>2.6705893020815673E-2</v>
      </c>
      <c r="EJ92" s="18">
        <f t="shared" si="47"/>
        <v>9.3647911727982855E-2</v>
      </c>
      <c r="EK92" s="18">
        <f t="shared" si="48"/>
        <v>-3.9115024280300163E-2</v>
      </c>
      <c r="EL92" s="18">
        <f t="shared" si="49"/>
        <v>-2.4540645482822789E-2</v>
      </c>
      <c r="EM92" s="6">
        <v>1.4068409687934094</v>
      </c>
      <c r="EN92" s="6">
        <v>1.4336322869955158</v>
      </c>
      <c r="EO92" s="6">
        <v>1.4581355452032065</v>
      </c>
      <c r="EP92" s="6">
        <v>1.3823385982498442</v>
      </c>
      <c r="EQ92" s="14">
        <v>201646.4407831867</v>
      </c>
      <c r="ER92" s="14">
        <v>35070.67</v>
      </c>
      <c r="ES92" s="15">
        <v>282398</v>
      </c>
      <c r="ET92" s="15">
        <v>147931</v>
      </c>
      <c r="EU92" s="15">
        <v>5.15</v>
      </c>
      <c r="EV92" s="6">
        <v>76200</v>
      </c>
      <c r="EW92" s="6">
        <v>0.124</v>
      </c>
      <c r="EX92" s="16">
        <v>0.106</v>
      </c>
      <c r="EY92" s="16">
        <v>1.7999999999999999E-2</v>
      </c>
      <c r="EZ92" s="6">
        <v>2.9000000000000001E-2</v>
      </c>
      <c r="FA92" s="20">
        <v>4400</v>
      </c>
      <c r="FB92" s="20">
        <v>6450</v>
      </c>
      <c r="FC92" s="20">
        <v>7350</v>
      </c>
      <c r="GF92" s="17">
        <v>513</v>
      </c>
      <c r="GG92" s="17">
        <v>769</v>
      </c>
      <c r="GI92" s="21">
        <v>105180.15333333332</v>
      </c>
      <c r="GJ92" s="6">
        <v>0.27868336921612213</v>
      </c>
      <c r="GK92" s="6">
        <v>0.78087435516968695</v>
      </c>
      <c r="GL92" s="21">
        <v>1200088</v>
      </c>
      <c r="GM92" s="21">
        <v>1200088.1143360748</v>
      </c>
    </row>
    <row r="93" spans="1:195" ht="15">
      <c r="A93" s="12">
        <v>2001</v>
      </c>
      <c r="B93" s="13">
        <v>0.95015783292483658</v>
      </c>
      <c r="C93" s="15">
        <f t="shared" si="27"/>
        <v>37442220.062331244</v>
      </c>
      <c r="D93" s="15">
        <v>5378961.6554019693</v>
      </c>
      <c r="E93" s="15">
        <v>1254232.0515610718</v>
      </c>
      <c r="F93" s="15">
        <v>3876801.6945980289</v>
      </c>
      <c r="G93" s="15">
        <v>1405366.1516792648</v>
      </c>
      <c r="H93" s="15">
        <v>-21303.490909087799</v>
      </c>
      <c r="I93" s="15">
        <v>2470504</v>
      </c>
      <c r="J93" s="15">
        <v>1259928.993274116</v>
      </c>
      <c r="K93" s="15">
        <v>1210574.5067258838</v>
      </c>
      <c r="L93" s="15">
        <v>1211836</v>
      </c>
      <c r="M93" s="15">
        <v>2677465.5</v>
      </c>
      <c r="N93" s="15">
        <v>-5058505.9999999991</v>
      </c>
      <c r="O93" s="15">
        <v>-779792.5</v>
      </c>
      <c r="P93" s="15">
        <v>13742273.5</v>
      </c>
      <c r="Q93" s="15">
        <v>2375760.5</v>
      </c>
      <c r="R93" s="15">
        <v>9993154.5</v>
      </c>
      <c r="S93" s="15">
        <v>0.51857167646832147</v>
      </c>
      <c r="T93" s="15">
        <v>-2252456</v>
      </c>
      <c r="U93" s="15">
        <v>388130</v>
      </c>
      <c r="V93" s="15">
        <v>51563.434500000003</v>
      </c>
      <c r="W93" s="15">
        <v>8862.6082410307281</v>
      </c>
      <c r="X93" s="15">
        <v>6746.9836729470044</v>
      </c>
      <c r="Y93" s="15">
        <v>4253.9507930111322</v>
      </c>
      <c r="Z93" s="15">
        <v>4253.9507930111322</v>
      </c>
      <c r="AA93" s="15">
        <v>9307333</v>
      </c>
      <c r="AB93" s="15">
        <v>170148</v>
      </c>
      <c r="AC93" s="15">
        <v>254441.87050481205</v>
      </c>
      <c r="AD93" s="15">
        <v>108450.02400084845</v>
      </c>
      <c r="AE93" s="15">
        <v>-13682.97962540522</v>
      </c>
      <c r="AF93" s="15">
        <v>128631</v>
      </c>
      <c r="AG93" s="15">
        <v>139386.99999999997</v>
      </c>
      <c r="AH93" s="15">
        <v>2374724.9148802557</v>
      </c>
      <c r="AI93" s="15">
        <v>705178.99999999988</v>
      </c>
      <c r="AJ93" s="15">
        <v>557467.00122106052</v>
      </c>
      <c r="AK93" s="15">
        <v>147711.99877893945</v>
      </c>
      <c r="AL93" s="15">
        <f t="shared" si="28"/>
        <v>573600.40062782692</v>
      </c>
      <c r="AM93" s="15">
        <v>335665.25111944065</v>
      </c>
      <c r="AN93" s="15">
        <v>237935.14950838627</v>
      </c>
      <c r="AO93" s="15">
        <v>495827.86495822249</v>
      </c>
      <c r="AP93" s="15">
        <v>274722.181541753</v>
      </c>
      <c r="AQ93" s="15">
        <v>155809.65356372483</v>
      </c>
      <c r="AR93" s="15">
        <f t="shared" si="25"/>
        <v>118912.52797802817</v>
      </c>
      <c r="AS93" s="15">
        <v>827968.42337700992</v>
      </c>
      <c r="AT93" s="15">
        <v>400265.66127272637</v>
      </c>
      <c r="AU93" s="15">
        <f t="shared" si="29"/>
        <v>427702.76210428355</v>
      </c>
      <c r="AV93" s="15">
        <v>-371695</v>
      </c>
      <c r="AW93" s="15">
        <v>-225644.99999999994</v>
      </c>
      <c r="AX93" s="15">
        <v>6932608.0851197448</v>
      </c>
      <c r="AY93" s="15">
        <v>6038348</v>
      </c>
      <c r="AZ93" s="15">
        <v>582407.1294951879</v>
      </c>
      <c r="BA93" s="15">
        <v>144090.8786908327</v>
      </c>
      <c r="BB93" s="15">
        <f t="shared" si="26"/>
        <v>438316.25080435519</v>
      </c>
      <c r="BC93" s="15">
        <v>356879.97599915153</v>
      </c>
      <c r="BD93" s="15">
        <v>-45027.02037459478</v>
      </c>
      <c r="BE93" s="15">
        <f t="shared" si="30"/>
        <v>465330</v>
      </c>
      <c r="BF93" s="15">
        <v>4953636</v>
      </c>
      <c r="BG93" s="15">
        <v>1084711.9999999995</v>
      </c>
      <c r="BH93" s="15">
        <v>414260.49885842321</v>
      </c>
      <c r="BI93" s="15">
        <v>70316.501141576824</v>
      </c>
      <c r="BJ93" s="15">
        <v>139588</v>
      </c>
      <c r="BK93" s="15">
        <v>28608</v>
      </c>
      <c r="BL93" s="15">
        <v>23542.74910434668</v>
      </c>
      <c r="BM93" s="15">
        <v>3996.1419175459719</v>
      </c>
      <c r="BN93" s="15">
        <v>8066.1089781073479</v>
      </c>
      <c r="BO93" s="15">
        <v>8567165.722357953</v>
      </c>
      <c r="BP93" s="15">
        <v>1045608.5230218928</v>
      </c>
      <c r="BQ93" s="15">
        <v>675472.58095348778</v>
      </c>
      <c r="BR93" s="15">
        <v>886317.82633333339</v>
      </c>
      <c r="BS93" s="15">
        <v>94596</v>
      </c>
      <c r="BT93" s="15">
        <v>443763.00000000006</v>
      </c>
      <c r="BU93" s="15">
        <v>31899</v>
      </c>
      <c r="BV93" s="15">
        <v>33162</v>
      </c>
      <c r="BW93" s="15">
        <v>15967</v>
      </c>
      <c r="BX93" s="15">
        <v>14904.999999999996</v>
      </c>
      <c r="BY93" s="15">
        <v>26597</v>
      </c>
      <c r="BZ93" s="15">
        <v>135504</v>
      </c>
      <c r="CA93" s="15">
        <v>18106</v>
      </c>
      <c r="CB93" s="15">
        <v>22174.999999999996</v>
      </c>
      <c r="CC93" s="15">
        <v>242580</v>
      </c>
      <c r="CD93" s="15">
        <v>227259</v>
      </c>
      <c r="CE93" s="15">
        <v>36.9</v>
      </c>
      <c r="CF93" s="15">
        <v>48036</v>
      </c>
      <c r="CG93" s="15">
        <v>517875</v>
      </c>
      <c r="CH93" s="15">
        <v>1538151</v>
      </c>
      <c r="CI93" s="15">
        <v>525802</v>
      </c>
      <c r="CJ93" s="15">
        <v>42023.000000000022</v>
      </c>
      <c r="CK93" s="15">
        <v>201026.99999999997</v>
      </c>
      <c r="CL93" s="15">
        <v>2911437.0000000005</v>
      </c>
      <c r="CM93" s="15">
        <v>2218127</v>
      </c>
      <c r="CN93" s="15">
        <v>158948.00000000009</v>
      </c>
      <c r="CO93" s="15">
        <v>65061.891021892734</v>
      </c>
      <c r="CP93" s="15">
        <v>-367.19433333331608</v>
      </c>
      <c r="CQ93" s="15">
        <v>357987</v>
      </c>
      <c r="CR93" s="15">
        <v>504884.63199999998</v>
      </c>
      <c r="CS93" s="15">
        <v>301590</v>
      </c>
      <c r="CT93" s="15">
        <v>203294.63200000001</v>
      </c>
      <c r="CU93" s="15">
        <v>359000</v>
      </c>
      <c r="CV93" s="15">
        <v>247241.06365115615</v>
      </c>
      <c r="CW93" s="15">
        <v>996029</v>
      </c>
      <c r="CX93" s="15">
        <v>243018</v>
      </c>
      <c r="CY93" s="15">
        <v>31189</v>
      </c>
      <c r="CZ93" s="15">
        <v>35697</v>
      </c>
      <c r="DA93" s="19">
        <v>0</v>
      </c>
      <c r="DB93" s="19">
        <v>0</v>
      </c>
      <c r="DC93" s="19">
        <v>0.14339775801547627</v>
      </c>
      <c r="DD93" s="19">
        <v>0.13606527094243381</v>
      </c>
      <c r="DE93" s="19">
        <v>0.30557312505028089</v>
      </c>
      <c r="DF93" s="19">
        <v>0.22238372965987824</v>
      </c>
      <c r="DG93" s="19">
        <v>0.19258011633193078</v>
      </c>
      <c r="DH93" s="15">
        <v>192473.10897810737</v>
      </c>
      <c r="DI93" s="15">
        <v>8473289.6133798454</v>
      </c>
      <c r="DJ93" s="15">
        <v>6935138.6133798454</v>
      </c>
      <c r="DK93" s="15">
        <v>9148329</v>
      </c>
      <c r="DL93" s="18">
        <v>2.0523603767369492E-2</v>
      </c>
      <c r="DM93" s="15">
        <v>5846257.532873421</v>
      </c>
      <c r="DN93" s="15">
        <v>5000054.7085173316</v>
      </c>
      <c r="DO93" s="15">
        <v>485651.88129671762</v>
      </c>
      <c r="DP93" s="15">
        <v>198027.15560835111</v>
      </c>
      <c r="DQ93" s="15">
        <v>119442.45258518921</v>
      </c>
      <c r="DR93" s="15">
        <v>43081.334865832767</v>
      </c>
      <c r="DS93" s="15">
        <v>6171426.4958734214</v>
      </c>
      <c r="DT93" s="18">
        <f t="shared" si="31"/>
        <v>0.17602582444176815</v>
      </c>
      <c r="DU93" s="18">
        <f t="shared" si="32"/>
        <v>0.17400400927304502</v>
      </c>
      <c r="DV93" s="18">
        <f t="shared" si="33"/>
        <v>1.0366105411320903E-2</v>
      </c>
      <c r="DW93" s="18">
        <f t="shared" si="34"/>
        <v>-6.0158184964734074E-2</v>
      </c>
      <c r="DX93" s="18">
        <f t="shared" si="35"/>
        <v>7.1509261351029363E-2</v>
      </c>
      <c r="DY93" s="18">
        <f t="shared" si="36"/>
        <v>0.36702613993301691</v>
      </c>
      <c r="DZ93" s="18">
        <f t="shared" si="37"/>
        <v>-0.1351016577430223</v>
      </c>
      <c r="EA93" s="18">
        <f t="shared" si="38"/>
        <v>6.598177127016705E-2</v>
      </c>
      <c r="EB93" s="18">
        <f t="shared" si="39"/>
        <v>0.33034673102740908</v>
      </c>
      <c r="EC93" s="18">
        <f t="shared" si="40"/>
        <v>0.69562806062904015</v>
      </c>
      <c r="ED93" s="18">
        <f t="shared" si="41"/>
        <v>6.7094301618135246E-2</v>
      </c>
      <c r="EE93" s="18">
        <f t="shared" si="42"/>
        <v>6.0936483725176536E-2</v>
      </c>
      <c r="EF93" s="18">
        <f t="shared" si="43"/>
        <v>1.6146336536316027E-2</v>
      </c>
      <c r="EG93" s="18">
        <f t="shared" si="44"/>
        <v>6.2700018837082372E-2</v>
      </c>
      <c r="EH93" s="18">
        <f t="shared" si="45"/>
        <v>3.6818075187088538E-2</v>
      </c>
      <c r="EI93" s="18">
        <f t="shared" si="46"/>
        <v>3.0029766260237581E-2</v>
      </c>
      <c r="EJ93" s="18">
        <f t="shared" si="47"/>
        <v>9.0504880549990049E-2</v>
      </c>
      <c r="EK93" s="18">
        <f t="shared" si="48"/>
        <v>-4.0629824309991472E-2</v>
      </c>
      <c r="EL93" s="18">
        <f t="shared" si="49"/>
        <v>-2.4665160162036143E-2</v>
      </c>
      <c r="EM93" s="6">
        <v>1.3751428379377562</v>
      </c>
      <c r="EN93" s="6">
        <v>1.3979202820327123</v>
      </c>
      <c r="EO93" s="6">
        <v>1.4183172283918881</v>
      </c>
      <c r="EP93" s="6">
        <v>1.3551698494063902</v>
      </c>
      <c r="EQ93" s="14">
        <v>203775.64568079551</v>
      </c>
      <c r="ER93" s="14">
        <v>35290.290999999997</v>
      </c>
      <c r="ES93" s="15">
        <v>285225</v>
      </c>
      <c r="ET93" s="15">
        <v>149151</v>
      </c>
      <c r="EU93" s="15">
        <v>5.15</v>
      </c>
      <c r="EV93" s="6">
        <v>80400</v>
      </c>
      <c r="EW93" s="6">
        <v>0.124</v>
      </c>
      <c r="EX93" s="16">
        <v>0.106</v>
      </c>
      <c r="EY93" s="16">
        <v>1.7999999999999999E-2</v>
      </c>
      <c r="EZ93" s="6">
        <v>2.9000000000000001E-2</v>
      </c>
      <c r="FA93" s="20">
        <v>4550</v>
      </c>
      <c r="FB93" s="20">
        <v>6650</v>
      </c>
      <c r="FC93" s="20">
        <v>7600</v>
      </c>
      <c r="GF93" s="17">
        <v>531</v>
      </c>
      <c r="GG93" s="17">
        <v>796</v>
      </c>
      <c r="GI93" s="21">
        <v>106495.80899999999</v>
      </c>
      <c r="GJ93" s="6">
        <v>0.2648242785508087</v>
      </c>
      <c r="GK93" s="6">
        <v>0.75766443239882064</v>
      </c>
      <c r="GL93" s="21">
        <v>951412</v>
      </c>
      <c r="GM93" s="21">
        <v>951411.8128650462</v>
      </c>
    </row>
    <row r="94" spans="1:195" ht="15">
      <c r="A94" s="12">
        <v>2002</v>
      </c>
      <c r="B94" s="13">
        <v>0.93109269664932037</v>
      </c>
      <c r="C94" s="15">
        <f t="shared" si="27"/>
        <v>37326130.682272807</v>
      </c>
      <c r="D94" s="15">
        <v>4276148.4924149569</v>
      </c>
      <c r="E94" s="15">
        <v>1506381.6681221207</v>
      </c>
      <c r="F94" s="15">
        <v>4095459.9075850435</v>
      </c>
      <c r="G94" s="15">
        <v>1501177.5323325086</v>
      </c>
      <c r="H94" s="15">
        <v>-112570.91818181927</v>
      </c>
      <c r="I94" s="15">
        <v>2413379.9999999995</v>
      </c>
      <c r="J94" s="15">
        <v>1238406.1955287061</v>
      </c>
      <c r="K94" s="15">
        <v>1174974.3044712946</v>
      </c>
      <c r="L94" s="15">
        <v>1118689.5</v>
      </c>
      <c r="M94" s="15">
        <v>2863252</v>
      </c>
      <c r="N94" s="15">
        <v>-5664049</v>
      </c>
      <c r="O94" s="15">
        <v>-867034</v>
      </c>
      <c r="P94" s="15">
        <v>15383125</v>
      </c>
      <c r="Q94" s="15">
        <v>2295886.5</v>
      </c>
      <c r="R94" s="15">
        <v>9573151.0000000019</v>
      </c>
      <c r="S94" s="15">
        <v>0.47953026723184838</v>
      </c>
      <c r="T94" s="15">
        <v>-2334044.5</v>
      </c>
      <c r="U94" s="15">
        <v>410143.5</v>
      </c>
      <c r="V94" s="15">
        <v>32100.028999999999</v>
      </c>
      <c r="W94" s="15">
        <v>7828.7228476538976</v>
      </c>
      <c r="X94" s="15">
        <v>6836.1423631892321</v>
      </c>
      <c r="Y94" s="15">
        <v>3830.5948945784339</v>
      </c>
      <c r="Z94" s="15">
        <v>3830.5948945784339</v>
      </c>
      <c r="AA94" s="15">
        <v>9550351</v>
      </c>
      <c r="AB94" s="15">
        <v>160674</v>
      </c>
      <c r="AC94" s="15">
        <v>263253.91388183151</v>
      </c>
      <c r="AD94" s="15">
        <v>112765.36922583418</v>
      </c>
      <c r="AE94" s="15">
        <v>-9757.8026808098657</v>
      </c>
      <c r="AF94" s="15">
        <v>138820</v>
      </c>
      <c r="AG94" s="15">
        <v>150393.00000000003</v>
      </c>
      <c r="AH94" s="15">
        <v>2472234.4804268559</v>
      </c>
      <c r="AI94" s="15">
        <v>728137</v>
      </c>
      <c r="AJ94" s="15">
        <v>579418.72103468922</v>
      </c>
      <c r="AK94" s="15">
        <v>148718.27896531072</v>
      </c>
      <c r="AL94" s="15">
        <f t="shared" si="28"/>
        <v>623193.23444958183</v>
      </c>
      <c r="AM94" s="15">
        <v>372022.86335441668</v>
      </c>
      <c r="AN94" s="15">
        <v>251170.37109516514</v>
      </c>
      <c r="AO94" s="15">
        <v>440593.58588120149</v>
      </c>
      <c r="AP94" s="15">
        <v>285268.44616327615</v>
      </c>
      <c r="AQ94" s="15">
        <v>160282.16236021649</v>
      </c>
      <c r="AR94" s="15">
        <f t="shared" si="25"/>
        <v>124986.28380305966</v>
      </c>
      <c r="AS94" s="15">
        <v>862938.64738777198</v>
      </c>
      <c r="AT94" s="15">
        <v>495163.22114609403</v>
      </c>
      <c r="AU94" s="15">
        <f t="shared" si="29"/>
        <v>367775.42624167795</v>
      </c>
      <c r="AV94" s="15">
        <v>-370316</v>
      </c>
      <c r="AW94" s="15">
        <v>-200588.00000000003</v>
      </c>
      <c r="AX94" s="15">
        <v>7078116.5195731437</v>
      </c>
      <c r="AY94" s="15">
        <v>6135115</v>
      </c>
      <c r="AZ94" s="15">
        <v>609015.08611816843</v>
      </c>
      <c r="BA94" s="15">
        <v>148740.44430341115</v>
      </c>
      <c r="BB94" s="15">
        <f t="shared" si="26"/>
        <v>460274.64181475725</v>
      </c>
      <c r="BC94" s="15">
        <v>365624.63077416585</v>
      </c>
      <c r="BD94" s="15">
        <v>-31638.197319190134</v>
      </c>
      <c r="BE94" s="15">
        <f t="shared" si="30"/>
        <v>478390</v>
      </c>
      <c r="BF94" s="15">
        <v>4995844</v>
      </c>
      <c r="BG94" s="15">
        <v>1139270.9999999998</v>
      </c>
      <c r="BH94" s="15">
        <v>423425.52668131539</v>
      </c>
      <c r="BI94" s="15">
        <v>71878.473318684628</v>
      </c>
      <c r="BJ94" s="15">
        <v>140180</v>
      </c>
      <c r="BK94" s="15">
        <v>29787</v>
      </c>
      <c r="BL94" s="15">
        <v>24559.900559742069</v>
      </c>
      <c r="BM94" s="15">
        <v>4169.1585552932775</v>
      </c>
      <c r="BN94" s="15">
        <v>8238.940884964657</v>
      </c>
      <c r="BO94" s="15">
        <v>8816966.2274789177</v>
      </c>
      <c r="BP94" s="15">
        <v>1083425.4523460609</v>
      </c>
      <c r="BQ94" s="15">
        <v>690900.16800835659</v>
      </c>
      <c r="BR94" s="15">
        <v>918348.84783333342</v>
      </c>
      <c r="BS94" s="15">
        <v>122591.99999999987</v>
      </c>
      <c r="BT94" s="15">
        <v>467057</v>
      </c>
      <c r="BU94" s="15">
        <v>53480</v>
      </c>
      <c r="BV94" s="15">
        <v>34664</v>
      </c>
      <c r="BW94" s="15">
        <v>18612</v>
      </c>
      <c r="BX94" s="15">
        <v>16118.999999999964</v>
      </c>
      <c r="BY94" s="15">
        <v>29542</v>
      </c>
      <c r="BZ94" s="15">
        <v>148057.99999999997</v>
      </c>
      <c r="CA94" s="15">
        <v>17684</v>
      </c>
      <c r="CB94" s="15">
        <v>23713</v>
      </c>
      <c r="CC94" s="15">
        <v>259736</v>
      </c>
      <c r="CD94" s="15">
        <v>250009</v>
      </c>
      <c r="CE94" s="15">
        <v>40.5</v>
      </c>
      <c r="CF94" s="15">
        <v>53061.000000000007</v>
      </c>
      <c r="CG94" s="15">
        <v>562806</v>
      </c>
      <c r="CH94" s="15">
        <v>1645819</v>
      </c>
      <c r="CI94" s="15">
        <v>545057</v>
      </c>
      <c r="CJ94" s="15">
        <v>37520.000000000007</v>
      </c>
      <c r="CK94" s="15">
        <v>190491</v>
      </c>
      <c r="CL94" s="15">
        <v>2764604.9999999995</v>
      </c>
      <c r="CM94" s="15">
        <v>2386225</v>
      </c>
      <c r="CN94" s="15">
        <v>-183540.99999999994</v>
      </c>
      <c r="CO94" s="15">
        <v>33283.059115035256</v>
      </c>
      <c r="CP94" s="15">
        <v>9201.5453976922581</v>
      </c>
      <c r="CQ94" s="15">
        <v>366043</v>
      </c>
      <c r="CR94" s="15">
        <v>529605.39323102555</v>
      </c>
      <c r="CS94" s="15">
        <v>316071.99999999994</v>
      </c>
      <c r="CT94" s="15">
        <v>213533.39323102564</v>
      </c>
      <c r="CU94" s="15">
        <v>384997</v>
      </c>
      <c r="CV94" s="15">
        <v>289684.84602886689</v>
      </c>
      <c r="CW94" s="15">
        <v>832333</v>
      </c>
      <c r="CX94" s="15">
        <v>219845</v>
      </c>
      <c r="CY94" s="15">
        <v>37266</v>
      </c>
      <c r="CZ94" s="15">
        <v>32654.000000000004</v>
      </c>
      <c r="DA94" s="19">
        <v>0</v>
      </c>
      <c r="DB94" s="19">
        <v>0</v>
      </c>
      <c r="DC94" s="19">
        <v>0.13148227726171613</v>
      </c>
      <c r="DD94" s="19">
        <v>0.14169445123940938</v>
      </c>
      <c r="DE94" s="19">
        <v>0.31110071743899814</v>
      </c>
      <c r="DF94" s="19">
        <v>0.2169801819783006</v>
      </c>
      <c r="DG94" s="19">
        <v>0.19874237208157575</v>
      </c>
      <c r="DH94" s="15">
        <v>197675.94088496457</v>
      </c>
      <c r="DI94" s="15">
        <v>9033802.2865939531</v>
      </c>
      <c r="DJ94" s="15">
        <v>7387983.2865939531</v>
      </c>
      <c r="DK94" s="15">
        <v>9397380.0000000019</v>
      </c>
      <c r="DL94" s="18">
        <v>2.8612323763458132E-2</v>
      </c>
      <c r="DM94" s="15">
        <v>5823155.0192037784</v>
      </c>
      <c r="DN94" s="15">
        <v>5019627.2003981732</v>
      </c>
      <c r="DO94" s="15">
        <v>511376.49830565043</v>
      </c>
      <c r="DP94" s="15">
        <v>148851.48080300685</v>
      </c>
      <c r="DQ94" s="15">
        <v>103121.19150152794</v>
      </c>
      <c r="DR94" s="15">
        <v>40178.648195421083</v>
      </c>
      <c r="DS94" s="15">
        <v>6061523.477203778</v>
      </c>
      <c r="DT94" s="18">
        <f t="shared" si="31"/>
        <v>0.14453247346575657</v>
      </c>
      <c r="DU94" s="18">
        <f t="shared" si="32"/>
        <v>0.18728027958113019</v>
      </c>
      <c r="DV94" s="18">
        <f t="shared" si="33"/>
        <v>1.0988106522243633E-2</v>
      </c>
      <c r="DW94" s="18">
        <f t="shared" si="34"/>
        <v>-6.253111311932745E-2</v>
      </c>
      <c r="DX94" s="18">
        <f t="shared" si="35"/>
        <v>7.6709049335237853E-2</v>
      </c>
      <c r="DY94" s="18">
        <f t="shared" si="36"/>
        <v>0.41212750206937104</v>
      </c>
      <c r="DZ94" s="18">
        <f t="shared" si="37"/>
        <v>-0.15174487407262952</v>
      </c>
      <c r="EA94" s="18">
        <f t="shared" si="38"/>
        <v>6.4656581217677062E-2</v>
      </c>
      <c r="EB94" s="18">
        <f t="shared" si="39"/>
        <v>0.31798199500054075</v>
      </c>
      <c r="EC94" s="18">
        <f t="shared" si="40"/>
        <v>0.68824743011199685</v>
      </c>
      <c r="ED94" s="18">
        <f t="shared" si="41"/>
        <v>6.8320327804819614E-2</v>
      </c>
      <c r="EE94" s="18">
        <f t="shared" si="42"/>
        <v>6.1657474853064269E-2</v>
      </c>
      <c r="EF94" s="18">
        <f t="shared" si="43"/>
        <v>1.5825504445421031E-2</v>
      </c>
      <c r="EG94" s="18">
        <f t="shared" si="44"/>
        <v>6.6315636320930058E-2</v>
      </c>
      <c r="EH94" s="18">
        <f t="shared" si="45"/>
        <v>3.0606678231720058E-2</v>
      </c>
      <c r="EI94" s="18">
        <f t="shared" si="46"/>
        <v>3.0356168013135159E-2</v>
      </c>
      <c r="EJ94" s="18">
        <f t="shared" si="47"/>
        <v>9.1827578259873685E-2</v>
      </c>
      <c r="EK94" s="18">
        <f t="shared" si="48"/>
        <v>-3.9406302607748106E-2</v>
      </c>
      <c r="EL94" s="18">
        <f t="shared" si="49"/>
        <v>-2.1345098314636633E-2</v>
      </c>
      <c r="EM94" s="6">
        <v>1.3548344370860927</v>
      </c>
      <c r="EN94" s="6">
        <v>1.3739272907965243</v>
      </c>
      <c r="EO94" s="6">
        <v>1.3957701717709725</v>
      </c>
      <c r="EP94" s="6">
        <v>1.3376020762606335</v>
      </c>
      <c r="EQ94" s="14">
        <v>206200.68043331249</v>
      </c>
      <c r="ER94" s="14">
        <v>35522.207000000002</v>
      </c>
      <c r="ES94" s="15">
        <v>287955</v>
      </c>
      <c r="ET94" s="15">
        <v>151254</v>
      </c>
      <c r="EU94" s="15">
        <v>5.15</v>
      </c>
      <c r="EV94" s="6">
        <v>84900</v>
      </c>
      <c r="EW94" s="6">
        <v>0.124</v>
      </c>
      <c r="EX94" s="16">
        <v>0.106</v>
      </c>
      <c r="EY94" s="16">
        <v>1.7999999999999999E-2</v>
      </c>
      <c r="EZ94" s="6">
        <v>2.9000000000000001E-2</v>
      </c>
      <c r="FA94" s="20">
        <v>4700</v>
      </c>
      <c r="FB94" s="20">
        <v>6900</v>
      </c>
      <c r="FC94" s="20">
        <v>7850</v>
      </c>
      <c r="GF94" s="17">
        <v>545</v>
      </c>
      <c r="GG94" s="17">
        <v>817</v>
      </c>
      <c r="GH94" s="17">
        <v>0.497</v>
      </c>
      <c r="GI94" s="21">
        <v>108366.85133333332</v>
      </c>
      <c r="GJ94" s="6">
        <v>0.25724696448007761</v>
      </c>
      <c r="GK94" s="6">
        <v>0.71092780259636779</v>
      </c>
      <c r="GL94" s="21">
        <v>898437</v>
      </c>
      <c r="GM94" s="21">
        <v>898436.65832319064</v>
      </c>
    </row>
    <row r="95" spans="1:195" ht="15">
      <c r="A95" s="12">
        <v>2003</v>
      </c>
      <c r="B95" s="13">
        <v>0.91949285477605525</v>
      </c>
      <c r="C95" s="15">
        <f t="shared" si="27"/>
        <v>39286656.013183877</v>
      </c>
      <c r="D95" s="15">
        <v>4304389.5359333642</v>
      </c>
      <c r="E95" s="15">
        <v>1760101.7055309403</v>
      </c>
      <c r="F95" s="15">
        <v>4379296.4640666358</v>
      </c>
      <c r="G95" s="15">
        <v>1416493.1803802082</v>
      </c>
      <c r="H95" s="15">
        <v>-207918.37272727391</v>
      </c>
      <c r="I95" s="15">
        <v>2411397.5</v>
      </c>
      <c r="J95" s="15">
        <v>1257227.6070025512</v>
      </c>
      <c r="K95" s="15">
        <v>1154170.3929974483</v>
      </c>
      <c r="L95" s="15">
        <v>1139599.4999999998</v>
      </c>
      <c r="M95" s="15">
        <v>3132386.4999999995</v>
      </c>
      <c r="N95" s="15">
        <v>-6455963</v>
      </c>
      <c r="O95" s="15">
        <v>-911969</v>
      </c>
      <c r="P95" s="15">
        <v>16929252</v>
      </c>
      <c r="Q95" s="15">
        <v>2439145</v>
      </c>
      <c r="R95" s="15">
        <v>10099296.5</v>
      </c>
      <c r="S95" s="15">
        <v>0.47592578241159134</v>
      </c>
      <c r="T95" s="15">
        <v>-2451253.5</v>
      </c>
      <c r="U95" s="15">
        <v>390433</v>
      </c>
      <c r="V95" s="15">
        <v>21476.728149999999</v>
      </c>
      <c r="W95" s="15">
        <v>6544.9935639025425</v>
      </c>
      <c r="X95" s="15">
        <v>4811.4992971464026</v>
      </c>
      <c r="Y95" s="15">
        <v>3348.9669944755301</v>
      </c>
      <c r="Z95" s="15">
        <v>3348.9669944755301</v>
      </c>
      <c r="AA95" s="15">
        <v>9966724.9999999981</v>
      </c>
      <c r="AB95" s="15">
        <v>213763</v>
      </c>
      <c r="AC95" s="15">
        <v>272399.77093518287</v>
      </c>
      <c r="AD95" s="15">
        <v>121189.98386462723</v>
      </c>
      <c r="AE95" s="15">
        <v>-11800.443891775358</v>
      </c>
      <c r="AF95" s="15">
        <v>147386</v>
      </c>
      <c r="AG95" s="15">
        <v>159537.99999999997</v>
      </c>
      <c r="AH95" s="15">
        <v>2630546.3109080349</v>
      </c>
      <c r="AI95" s="15">
        <v>738141</v>
      </c>
      <c r="AJ95" s="15">
        <v>593617.77648771496</v>
      </c>
      <c r="AK95" s="15">
        <v>144523.22351228516</v>
      </c>
      <c r="AL95" s="15">
        <f t="shared" si="28"/>
        <v>678842.5040072616</v>
      </c>
      <c r="AM95" s="15">
        <v>407488.38924203441</v>
      </c>
      <c r="AN95" s="15">
        <v>271354.11476522719</v>
      </c>
      <c r="AO95" s="15">
        <v>430870.60520004161</v>
      </c>
      <c r="AP95" s="15">
        <v>295857.1612676637</v>
      </c>
      <c r="AQ95" s="15">
        <v>161770.78122391528</v>
      </c>
      <c r="AR95" s="15">
        <f t="shared" si="25"/>
        <v>134086.38004374842</v>
      </c>
      <c r="AS95" s="15">
        <v>930793.50046021561</v>
      </c>
      <c r="AT95" s="15">
        <v>564919.36506721308</v>
      </c>
      <c r="AU95" s="15">
        <f t="shared" si="29"/>
        <v>365874.13539300254</v>
      </c>
      <c r="AV95" s="15">
        <v>-356868</v>
      </c>
      <c r="AW95" s="15">
        <v>-196480</v>
      </c>
      <c r="AX95" s="15">
        <v>7336178.6890919637</v>
      </c>
      <c r="AY95" s="15">
        <v>6353606</v>
      </c>
      <c r="AZ95" s="15">
        <v>637206.22906481719</v>
      </c>
      <c r="BA95" s="15">
        <v>142387.32913871566</v>
      </c>
      <c r="BB95" s="15">
        <f t="shared" si="26"/>
        <v>494818.89992610156</v>
      </c>
      <c r="BC95" s="15">
        <v>382623.01613537286</v>
      </c>
      <c r="BD95" s="15">
        <v>-37256.55610822465</v>
      </c>
      <c r="BE95" s="15">
        <f t="shared" si="30"/>
        <v>503813.00000000012</v>
      </c>
      <c r="BF95" s="15">
        <v>5138269</v>
      </c>
      <c r="BG95" s="15">
        <v>1215336.9999999995</v>
      </c>
      <c r="BH95" s="15">
        <v>432539.64871916466</v>
      </c>
      <c r="BI95" s="15">
        <v>73445.351280835355</v>
      </c>
      <c r="BJ95" s="15">
        <v>143606</v>
      </c>
      <c r="BK95" s="15">
        <v>34439</v>
      </c>
      <c r="BL95" s="15">
        <v>25783.569508716231</v>
      </c>
      <c r="BM95" s="15">
        <v>4378.0571918645364</v>
      </c>
      <c r="BN95" s="15">
        <v>8684.3732994192324</v>
      </c>
      <c r="BO95" s="15">
        <v>9181855.1244800109</v>
      </c>
      <c r="BP95" s="15">
        <v>1118644.5518160935</v>
      </c>
      <c r="BQ95" s="15">
        <v>742749.21187055984</v>
      </c>
      <c r="BR95" s="15">
        <v>948769.88816666661</v>
      </c>
      <c r="BS95" s="15">
        <v>127754.00000000001</v>
      </c>
      <c r="BT95" s="15">
        <v>485204</v>
      </c>
      <c r="BU95" s="15">
        <v>53175</v>
      </c>
      <c r="BV95" s="15">
        <v>35719</v>
      </c>
      <c r="BW95" s="15">
        <v>22125</v>
      </c>
      <c r="BX95" s="15">
        <v>17521.999999999985</v>
      </c>
      <c r="BY95" s="15">
        <v>31829</v>
      </c>
      <c r="BZ95" s="15">
        <v>161716.99999999997</v>
      </c>
      <c r="CA95" s="15">
        <v>18367</v>
      </c>
      <c r="CB95" s="15">
        <v>25042</v>
      </c>
      <c r="CC95" s="15">
        <v>276708</v>
      </c>
      <c r="CD95" s="15">
        <v>264526</v>
      </c>
      <c r="CE95" s="15">
        <v>43.5</v>
      </c>
      <c r="CF95" s="15">
        <v>58206</v>
      </c>
      <c r="CG95" s="15">
        <v>599440</v>
      </c>
      <c r="CH95" s="15">
        <v>1746378</v>
      </c>
      <c r="CI95" s="15">
        <v>565550</v>
      </c>
      <c r="CJ95" s="15">
        <v>37621.999999999942</v>
      </c>
      <c r="CK95" s="15">
        <v>185587.00000000009</v>
      </c>
      <c r="CL95" s="15">
        <v>2835665.9999999995</v>
      </c>
      <c r="CM95" s="15">
        <v>2539364</v>
      </c>
      <c r="CN95" s="15">
        <v>-291121.99999999994</v>
      </c>
      <c r="CO95" s="15">
        <v>32206.626700580855</v>
      </c>
      <c r="CP95" s="15">
        <v>9914.0369488461602</v>
      </c>
      <c r="CQ95" s="15">
        <v>382544</v>
      </c>
      <c r="CR95" s="15">
        <v>548058.9251155128</v>
      </c>
      <c r="CS95" s="15">
        <v>326905.00000000006</v>
      </c>
      <c r="CT95" s="15">
        <v>221153.92511551283</v>
      </c>
      <c r="CU95" s="15">
        <v>421004</v>
      </c>
      <c r="CV95" s="15">
        <v>346558.38853884552</v>
      </c>
      <c r="CW95" s="15">
        <v>778631</v>
      </c>
      <c r="CX95" s="15">
        <v>224907</v>
      </c>
      <c r="CY95" s="15">
        <v>42942</v>
      </c>
      <c r="CZ95" s="15">
        <v>28345</v>
      </c>
      <c r="DA95" s="19">
        <v>0</v>
      </c>
      <c r="DB95" s="19">
        <v>0</v>
      </c>
      <c r="DC95" s="19">
        <v>0.11956679650795587</v>
      </c>
      <c r="DD95" s="19">
        <v>0.14732363153638495</v>
      </c>
      <c r="DE95" s="19">
        <v>0.31662830982771556</v>
      </c>
      <c r="DF95" s="19">
        <v>0.21157663429672294</v>
      </c>
      <c r="DG95" s="19">
        <v>0.20490462783122068</v>
      </c>
      <c r="DH95" s="15">
        <v>208697.37329941901</v>
      </c>
      <c r="DI95" s="15">
        <v>9505195.7511805948</v>
      </c>
      <c r="DJ95" s="15">
        <v>7758817.7511805939</v>
      </c>
      <c r="DK95" s="15">
        <v>9818759.9999999981</v>
      </c>
      <c r="DL95" s="18">
        <v>8.3376875233642067E-2</v>
      </c>
      <c r="DM95" s="15">
        <v>5961478.1778232278</v>
      </c>
      <c r="DN95" s="15">
        <v>5128620.33282224</v>
      </c>
      <c r="DO95" s="15">
        <v>549275.26587344438</v>
      </c>
      <c r="DP95" s="15">
        <v>126998.55073221038</v>
      </c>
      <c r="DQ95" s="15">
        <v>114995.32095061385</v>
      </c>
      <c r="DR95" s="15">
        <v>41588.707444719759</v>
      </c>
      <c r="DS95" s="15">
        <v>6255499.894823228</v>
      </c>
      <c r="DT95" s="18">
        <f t="shared" si="31"/>
        <v>0.13857094465119307</v>
      </c>
      <c r="DU95" s="18">
        <f t="shared" si="32"/>
        <v>0.18703482869055249</v>
      </c>
      <c r="DV95" s="18">
        <f t="shared" si="33"/>
        <v>9.9380563178749007E-3</v>
      </c>
      <c r="DW95" s="18">
        <f t="shared" si="34"/>
        <v>-6.2394047973373057E-2</v>
      </c>
      <c r="DX95" s="18">
        <f t="shared" si="35"/>
        <v>7.9731563280642376E-2</v>
      </c>
      <c r="DY95" s="18">
        <f t="shared" si="36"/>
        <v>0.43091608495054545</v>
      </c>
      <c r="DZ95" s="18">
        <f t="shared" si="37"/>
        <v>-0.16432966444976885</v>
      </c>
      <c r="EA95" s="18">
        <f t="shared" si="38"/>
        <v>6.1379555928373734E-2</v>
      </c>
      <c r="EB95" s="18">
        <f t="shared" si="39"/>
        <v>0.31915267860395985</v>
      </c>
      <c r="EC95" s="18">
        <f t="shared" si="40"/>
        <v>0.68250504883867424</v>
      </c>
      <c r="ED95" s="18">
        <f t="shared" si="41"/>
        <v>6.8448762559118484E-2</v>
      </c>
      <c r="EE95" s="18">
        <f t="shared" si="42"/>
        <v>6.0457509551889964E-2</v>
      </c>
      <c r="EF95" s="18">
        <f t="shared" si="43"/>
        <v>1.4719091159401511E-2</v>
      </c>
      <c r="EG95" s="18">
        <f t="shared" si="44"/>
        <v>6.9137294730420309E-2</v>
      </c>
      <c r="EH95" s="18">
        <f t="shared" si="45"/>
        <v>2.8812763037292029E-2</v>
      </c>
      <c r="EI95" s="18">
        <f t="shared" si="46"/>
        <v>3.0131825329029711E-2</v>
      </c>
      <c r="EJ95" s="18">
        <f t="shared" si="47"/>
        <v>9.4797459196498929E-2</v>
      </c>
      <c r="EK95" s="18">
        <f t="shared" si="48"/>
        <v>-3.6345526319005665E-2</v>
      </c>
      <c r="EL95" s="18">
        <f t="shared" si="49"/>
        <v>-2.001067344552673E-2</v>
      </c>
      <c r="EM95" s="6">
        <v>1.3282345608476602</v>
      </c>
      <c r="EN95" s="6">
        <v>1.3433478649088713</v>
      </c>
      <c r="EO95" s="6">
        <v>1.3652813009325839</v>
      </c>
      <c r="EP95" s="6">
        <v>1.310075230441369</v>
      </c>
      <c r="EQ95" s="14">
        <v>208605.71414694539</v>
      </c>
      <c r="ER95" s="14">
        <v>35863.529000000002</v>
      </c>
      <c r="ES95" s="15">
        <v>290626</v>
      </c>
      <c r="ET95" s="15">
        <v>152949</v>
      </c>
      <c r="EU95" s="15">
        <v>5.15</v>
      </c>
      <c r="EV95" s="6">
        <v>87000</v>
      </c>
      <c r="EW95" s="6">
        <v>0.124</v>
      </c>
      <c r="EX95" s="16">
        <v>0.106</v>
      </c>
      <c r="EY95" s="16">
        <v>1.7999999999999999E-2</v>
      </c>
      <c r="EZ95" s="6">
        <v>2.9000000000000001E-2</v>
      </c>
      <c r="FA95" s="20">
        <v>4750</v>
      </c>
      <c r="FB95" s="20">
        <v>7000</v>
      </c>
      <c r="FC95" s="20">
        <v>9500</v>
      </c>
      <c r="GF95" s="17">
        <v>552</v>
      </c>
      <c r="GG95" s="17">
        <v>829</v>
      </c>
      <c r="GH95" s="17">
        <v>0.52100000000000002</v>
      </c>
      <c r="GI95" s="21">
        <v>110237.89366666666</v>
      </c>
      <c r="GJ95" s="6">
        <v>0.2469954176553936</v>
      </c>
      <c r="GK95" s="6">
        <v>0.69968351194625034</v>
      </c>
      <c r="GL95" s="21">
        <v>955000</v>
      </c>
      <c r="GM95" s="21">
        <v>955000</v>
      </c>
    </row>
    <row r="96" spans="1:195" ht="15">
      <c r="A96" s="12">
        <v>2004</v>
      </c>
      <c r="B96" s="13">
        <v>0.91835119667736231</v>
      </c>
      <c r="C96" s="15">
        <f t="shared" si="27"/>
        <v>44814448.967767082</v>
      </c>
      <c r="D96" s="15">
        <v>5379961.12779555</v>
      </c>
      <c r="E96" s="15">
        <v>1904781.0760821316</v>
      </c>
      <c r="F96" s="15">
        <v>4704073.4222044507</v>
      </c>
      <c r="G96" s="15">
        <v>1316658.4416849485</v>
      </c>
      <c r="H96" s="15">
        <v>195800.39999999804</v>
      </c>
      <c r="I96" s="15">
        <v>2787650.4999999995</v>
      </c>
      <c r="J96" s="15">
        <v>1356124.4823534088</v>
      </c>
      <c r="K96" s="15">
        <v>1431526.0176465916</v>
      </c>
      <c r="L96" s="15">
        <v>1323610.9999999998</v>
      </c>
      <c r="M96" s="15">
        <v>3493959</v>
      </c>
      <c r="N96" s="15">
        <v>-7368095.5</v>
      </c>
      <c r="O96" s="15">
        <v>-980706</v>
      </c>
      <c r="P96" s="15">
        <v>19105118.000000004</v>
      </c>
      <c r="Q96" s="15">
        <v>2802756.5</v>
      </c>
      <c r="R96" s="15">
        <v>11409248</v>
      </c>
      <c r="S96" s="15">
        <v>0.50972916330642903</v>
      </c>
      <c r="T96" s="15">
        <v>-2622872.0000000005</v>
      </c>
      <c r="U96" s="15">
        <v>381799</v>
      </c>
      <c r="V96" s="15">
        <v>29950.427449999996</v>
      </c>
      <c r="W96" s="15">
        <v>7646.5393962785929</v>
      </c>
      <c r="X96" s="15">
        <v>4423.9239355121008</v>
      </c>
      <c r="Y96" s="15">
        <v>3707.9931091046551</v>
      </c>
      <c r="Z96" s="15">
        <v>3707.9931091046551</v>
      </c>
      <c r="AA96" s="15">
        <v>10650606</v>
      </c>
      <c r="AB96" s="15">
        <v>278512</v>
      </c>
      <c r="AC96" s="15">
        <v>294013.61702652206</v>
      </c>
      <c r="AD96" s="15">
        <v>133884.55596034255</v>
      </c>
      <c r="AE96" s="15">
        <v>-11451.378809342086</v>
      </c>
      <c r="AF96" s="15">
        <v>156681.99999999997</v>
      </c>
      <c r="AG96" s="15">
        <v>169445.99999999997</v>
      </c>
      <c r="AH96" s="15">
        <v>2874946.7941775229</v>
      </c>
      <c r="AI96" s="15">
        <v>766223</v>
      </c>
      <c r="AJ96" s="15">
        <v>616351.31429715152</v>
      </c>
      <c r="AK96" s="15">
        <v>149871.68570284851</v>
      </c>
      <c r="AL96" s="15">
        <f t="shared" si="28"/>
        <v>830129.98833012301</v>
      </c>
      <c r="AM96" s="15">
        <v>500215.88701361819</v>
      </c>
      <c r="AN96" s="15">
        <v>329914.10131650488</v>
      </c>
      <c r="AO96" s="15">
        <v>401798.67532289412</v>
      </c>
      <c r="AP96" s="15">
        <v>319032.68635993928</v>
      </c>
      <c r="AQ96" s="15">
        <v>174996.76338887381</v>
      </c>
      <c r="AR96" s="15">
        <f t="shared" si="25"/>
        <v>144035.92297106548</v>
      </c>
      <c r="AS96" s="15">
        <v>1002802.2670135654</v>
      </c>
      <c r="AT96" s="15">
        <v>673555.15026366909</v>
      </c>
      <c r="AU96" s="15">
        <f t="shared" si="29"/>
        <v>329247.11674989632</v>
      </c>
      <c r="AV96" s="15">
        <v>-360205</v>
      </c>
      <c r="AW96" s="15">
        <v>-207268.00000000003</v>
      </c>
      <c r="AX96" s="15">
        <v>7775659.205822478</v>
      </c>
      <c r="AY96" s="15">
        <v>6719487.9999999991</v>
      </c>
      <c r="AZ96" s="15">
        <v>682665.38297347794</v>
      </c>
      <c r="BA96" s="15">
        <v>149979.59709024185</v>
      </c>
      <c r="BB96" s="15">
        <f t="shared" si="26"/>
        <v>532685.78588323609</v>
      </c>
      <c r="BC96" s="15">
        <v>408440.44403965748</v>
      </c>
      <c r="BD96" s="15">
        <v>-34934.621190657912</v>
      </c>
      <c r="BE96" s="15">
        <f t="shared" si="30"/>
        <v>542325</v>
      </c>
      <c r="BF96" s="15">
        <v>5421014</v>
      </c>
      <c r="BG96" s="15">
        <v>1298474.0000000002</v>
      </c>
      <c r="BH96" s="15">
        <v>451753.80894294969</v>
      </c>
      <c r="BI96" s="15">
        <v>76714.191057050208</v>
      </c>
      <c r="BJ96" s="15">
        <v>152000.99999999997</v>
      </c>
      <c r="BK96" s="15">
        <v>41005</v>
      </c>
      <c r="BL96" s="15">
        <v>27293.324903590183</v>
      </c>
      <c r="BM96" s="15">
        <v>4634.7928889307505</v>
      </c>
      <c r="BN96" s="15">
        <v>9323.8822074790696</v>
      </c>
      <c r="BO96" s="15">
        <v>9778336.3872800302</v>
      </c>
      <c r="BP96" s="15">
        <v>1189249.957792521</v>
      </c>
      <c r="BQ96" s="15">
        <v>806576.35659411352</v>
      </c>
      <c r="BR96" s="15">
        <v>1004872.7016666667</v>
      </c>
      <c r="BS96" s="15">
        <v>118683.99999999997</v>
      </c>
      <c r="BT96" s="15">
        <v>508514</v>
      </c>
      <c r="BU96" s="15">
        <v>36425</v>
      </c>
      <c r="BV96" s="15">
        <v>37095</v>
      </c>
      <c r="BW96" s="15">
        <v>25946</v>
      </c>
      <c r="BX96" s="15">
        <v>18527.000000000022</v>
      </c>
      <c r="BY96" s="15">
        <v>34050</v>
      </c>
      <c r="BZ96" s="15">
        <v>173952.00000000003</v>
      </c>
      <c r="CA96" s="15">
        <v>18418</v>
      </c>
      <c r="CB96" s="15">
        <v>27288.000000000004</v>
      </c>
      <c r="CC96" s="15">
        <v>304359</v>
      </c>
      <c r="CD96" s="15">
        <v>289812</v>
      </c>
      <c r="CE96" s="15">
        <v>45.2</v>
      </c>
      <c r="CF96" s="15">
        <v>68402</v>
      </c>
      <c r="CG96" s="15">
        <v>662573.00000000012</v>
      </c>
      <c r="CH96" s="15">
        <v>1851920</v>
      </c>
      <c r="CI96" s="15">
        <v>596950</v>
      </c>
      <c r="CJ96" s="15">
        <v>41565.999999999985</v>
      </c>
      <c r="CK96" s="15">
        <v>193280</v>
      </c>
      <c r="CL96" s="15">
        <v>3055305.0000000005</v>
      </c>
      <c r="CM96" s="15">
        <v>2722495.0000000005</v>
      </c>
      <c r="CN96" s="15">
        <v>-258502.00000000041</v>
      </c>
      <c r="CO96" s="15">
        <v>56462.117792520839</v>
      </c>
      <c r="CP96" s="15">
        <v>9231.1383333333197</v>
      </c>
      <c r="CQ96" s="15">
        <v>408752</v>
      </c>
      <c r="CR96" s="15">
        <v>587848.84</v>
      </c>
      <c r="CS96" s="15">
        <v>348718</v>
      </c>
      <c r="CT96" s="15">
        <v>239130.83999999997</v>
      </c>
      <c r="CU96" s="15">
        <v>453249</v>
      </c>
      <c r="CV96" s="15">
        <v>342478.63015560491</v>
      </c>
      <c r="CW96" s="15">
        <v>803019</v>
      </c>
      <c r="CX96" s="15">
        <v>245726</v>
      </c>
      <c r="CY96" s="15">
        <v>46678</v>
      </c>
      <c r="CZ96" s="15">
        <v>30355</v>
      </c>
      <c r="DA96" s="19">
        <v>0</v>
      </c>
      <c r="DB96" s="19">
        <v>0</v>
      </c>
      <c r="DC96" s="19">
        <v>0.10648246517011828</v>
      </c>
      <c r="DD96" s="19">
        <v>0.13576411355735918</v>
      </c>
      <c r="DE96" s="19">
        <v>0.31205921410284387</v>
      </c>
      <c r="DF96" s="19">
        <v>0.2309068218309312</v>
      </c>
      <c r="DG96" s="19">
        <v>0.21478738533874747</v>
      </c>
      <c r="DH96" s="15">
        <v>227838.88220747924</v>
      </c>
      <c r="DI96" s="15">
        <v>10093313.505072555</v>
      </c>
      <c r="DJ96" s="15">
        <v>8241393.5050725536</v>
      </c>
      <c r="DK96" s="15">
        <v>10498892</v>
      </c>
      <c r="DL96" s="18">
        <v>8.7298443739482312E-2</v>
      </c>
      <c r="DM96" s="15">
        <v>6383254.4954936244</v>
      </c>
      <c r="DN96" s="15">
        <v>5426862.807588811</v>
      </c>
      <c r="DO96" s="15">
        <v>640562.7460348109</v>
      </c>
      <c r="DP96" s="15">
        <v>125287.30309816268</v>
      </c>
      <c r="DQ96" s="15">
        <v>146620.13706813569</v>
      </c>
      <c r="DR96" s="15">
        <v>43921.501703703856</v>
      </c>
      <c r="DS96" s="15">
        <v>6854990.1434936244</v>
      </c>
      <c r="DT96" s="18">
        <f t="shared" si="31"/>
        <v>0.14958506201018143</v>
      </c>
      <c r="DU96" s="18">
        <f t="shared" si="32"/>
        <v>0.18122086797971804</v>
      </c>
      <c r="DV96" s="18">
        <f t="shared" si="33"/>
        <v>8.519551367787875E-3</v>
      </c>
      <c r="DW96" s="18">
        <f t="shared" si="34"/>
        <v>-5.8527373657690368E-2</v>
      </c>
      <c r="DX96" s="18">
        <f t="shared" si="35"/>
        <v>7.7965010849805158E-2</v>
      </c>
      <c r="DY96" s="18">
        <f t="shared" si="36"/>
        <v>0.4263160306565727</v>
      </c>
      <c r="DZ96" s="18">
        <f t="shared" si="37"/>
        <v>-0.16441339054061613</v>
      </c>
      <c r="EA96" s="18">
        <f t="shared" si="38"/>
        <v>6.2204279294051458E-2</v>
      </c>
      <c r="EB96" s="18">
        <f t="shared" si="39"/>
        <v>0.31712996204018984</v>
      </c>
      <c r="EC96" s="18">
        <f t="shared" si="40"/>
        <v>0.67533411387328512</v>
      </c>
      <c r="ED96" s="18">
        <f t="shared" si="41"/>
        <v>6.8610468756304152E-2</v>
      </c>
      <c r="EE96" s="18">
        <f t="shared" si="42"/>
        <v>5.8706320085695853E-2</v>
      </c>
      <c r="EF96" s="18">
        <f t="shared" si="43"/>
        <v>1.4275000228866866E-2</v>
      </c>
      <c r="EG96" s="18">
        <f t="shared" si="44"/>
        <v>7.9068342481294504E-2</v>
      </c>
      <c r="EH96" s="18">
        <f t="shared" si="45"/>
        <v>2.3820101713866008E-2</v>
      </c>
      <c r="EI96" s="18">
        <f t="shared" si="46"/>
        <v>3.0387271948310288E-2</v>
      </c>
      <c r="EJ96" s="18">
        <f t="shared" si="47"/>
        <v>9.5515056923489203E-2</v>
      </c>
      <c r="EK96" s="18">
        <f t="shared" si="48"/>
        <v>-3.4308858496687078E-2</v>
      </c>
      <c r="EL96" s="18">
        <f t="shared" si="49"/>
        <v>-1.9741892763541147E-2</v>
      </c>
      <c r="EM96" s="6">
        <v>1.2936802033666799</v>
      </c>
      <c r="EN96" s="6">
        <v>1.3075831746315776</v>
      </c>
      <c r="EO96" s="6">
        <v>1.3293528456448844</v>
      </c>
      <c r="EP96" s="6">
        <v>1.2783519360617335</v>
      </c>
      <c r="EQ96" s="14">
        <v>210950.91872463207</v>
      </c>
      <c r="ER96" s="14">
        <v>36203.319000000003</v>
      </c>
      <c r="ES96" s="15">
        <v>293262</v>
      </c>
      <c r="ET96" s="15">
        <v>154792</v>
      </c>
      <c r="EU96" s="15">
        <v>5.15</v>
      </c>
      <c r="EV96" s="6">
        <v>87900</v>
      </c>
      <c r="EW96" s="6">
        <v>0.124</v>
      </c>
      <c r="EX96" s="16">
        <v>0.106</v>
      </c>
      <c r="EY96" s="16">
        <v>1.7999999999999999E-2</v>
      </c>
      <c r="EZ96" s="6">
        <v>2.9000000000000001E-2</v>
      </c>
      <c r="FA96" s="20">
        <v>4850</v>
      </c>
      <c r="FB96" s="20">
        <v>7150</v>
      </c>
      <c r="FC96" s="20">
        <v>9700</v>
      </c>
      <c r="FD96" s="17">
        <v>134</v>
      </c>
      <c r="FE96" s="17">
        <v>134</v>
      </c>
      <c r="FF96" s="17">
        <v>149</v>
      </c>
      <c r="FG96" s="17">
        <v>171</v>
      </c>
      <c r="FH96" s="17">
        <v>175</v>
      </c>
      <c r="FI96" s="17">
        <v>749</v>
      </c>
      <c r="FJ96" s="17">
        <v>1010</v>
      </c>
      <c r="FK96" s="17">
        <v>1272</v>
      </c>
      <c r="FL96" s="17">
        <v>1534</v>
      </c>
      <c r="FM96" s="17">
        <v>1795</v>
      </c>
      <c r="FN96" s="17">
        <v>2057</v>
      </c>
      <c r="FO96" s="17">
        <v>2319</v>
      </c>
      <c r="FP96" s="17">
        <v>2580</v>
      </c>
      <c r="FQ96" s="17">
        <v>262</v>
      </c>
      <c r="FR96" s="17">
        <v>141</v>
      </c>
      <c r="FS96" s="17">
        <v>259</v>
      </c>
      <c r="FT96" s="17">
        <v>371</v>
      </c>
      <c r="FU96" s="17">
        <v>471</v>
      </c>
      <c r="FV96" s="17">
        <v>560</v>
      </c>
      <c r="FW96" s="17">
        <v>672</v>
      </c>
      <c r="FX96" s="17">
        <v>743</v>
      </c>
      <c r="FY96" s="17">
        <v>849</v>
      </c>
      <c r="FZ96" s="17">
        <v>106</v>
      </c>
      <c r="GA96" s="17">
        <v>10</v>
      </c>
      <c r="GB96" s="17">
        <v>2000</v>
      </c>
      <c r="GC96" s="17">
        <v>3000</v>
      </c>
      <c r="GD96" s="17">
        <v>2000</v>
      </c>
      <c r="GE96" s="17">
        <v>3000</v>
      </c>
      <c r="GF96" s="17">
        <v>564</v>
      </c>
      <c r="GG96" s="17">
        <v>846</v>
      </c>
      <c r="GH96" s="17">
        <v>0.57099999999999995</v>
      </c>
      <c r="GI96" s="21">
        <v>112108.936</v>
      </c>
      <c r="GJ96" s="6">
        <v>0.28286454289873109</v>
      </c>
      <c r="GK96" s="6">
        <v>0.68750016775549361</v>
      </c>
      <c r="GL96" s="21">
        <v>1005000</v>
      </c>
      <c r="GM96" s="21">
        <v>1005000</v>
      </c>
    </row>
    <row r="97" spans="1:195" ht="15">
      <c r="A97" s="12">
        <v>2005</v>
      </c>
      <c r="B97" s="13">
        <v>0.92111378452300163</v>
      </c>
      <c r="C97" s="15">
        <f t="shared" si="27"/>
        <v>50296152.52404505</v>
      </c>
      <c r="D97" s="15">
        <v>6055962.8510464244</v>
      </c>
      <c r="E97" s="15">
        <v>2013161.2446396374</v>
      </c>
      <c r="F97" s="15">
        <v>5062777.1989535745</v>
      </c>
      <c r="G97" s="15">
        <v>1278063.2294054134</v>
      </c>
      <c r="H97" s="15">
        <v>671187.49999999779</v>
      </c>
      <c r="I97" s="15">
        <v>3317329</v>
      </c>
      <c r="J97" s="15">
        <v>1520900.9150017286</v>
      </c>
      <c r="K97" s="15">
        <v>1796428.0849982728</v>
      </c>
      <c r="L97" s="15">
        <v>1487659</v>
      </c>
      <c r="M97" s="15">
        <v>3963640.5</v>
      </c>
      <c r="N97" s="15">
        <v>-8371722.5</v>
      </c>
      <c r="O97" s="15">
        <v>-1112359</v>
      </c>
      <c r="P97" s="15">
        <v>21879597.5</v>
      </c>
      <c r="Q97" s="15">
        <v>2997461.0000000005</v>
      </c>
      <c r="R97" s="15">
        <v>12355104</v>
      </c>
      <c r="S97" s="15">
        <v>0.52587215604164061</v>
      </c>
      <c r="T97" s="15">
        <v>-2746531</v>
      </c>
      <c r="U97" s="15">
        <v>332463</v>
      </c>
      <c r="V97" s="15">
        <v>47484.742550000003</v>
      </c>
      <c r="W97" s="15">
        <v>10457.187811282165</v>
      </c>
      <c r="X97" s="15">
        <v>4676.6969797479496</v>
      </c>
      <c r="Y97" s="15">
        <v>4442.0753294849465</v>
      </c>
      <c r="Z97" s="15">
        <v>4442.0753294849465</v>
      </c>
      <c r="AA97" s="15">
        <v>11365604.000000002</v>
      </c>
      <c r="AB97" s="15">
        <v>379749</v>
      </c>
      <c r="AC97" s="15">
        <v>305822.21511395136</v>
      </c>
      <c r="AD97" s="15">
        <v>152809.51771626546</v>
      </c>
      <c r="AE97" s="15">
        <v>-15836.345735953919</v>
      </c>
      <c r="AF97" s="15">
        <v>168788</v>
      </c>
      <c r="AG97" s="15">
        <v>182453</v>
      </c>
      <c r="AH97" s="15">
        <v>3214882.3870942625</v>
      </c>
      <c r="AI97" s="15">
        <v>805349</v>
      </c>
      <c r="AJ97" s="15">
        <v>647735.8593583334</v>
      </c>
      <c r="AK97" s="15">
        <v>157613.14064166663</v>
      </c>
      <c r="AL97" s="15">
        <f t="shared" si="28"/>
        <v>966644.42759012314</v>
      </c>
      <c r="AM97" s="15">
        <v>563166.94845108781</v>
      </c>
      <c r="AN97" s="15">
        <v>403477.47913903528</v>
      </c>
      <c r="AO97" s="15">
        <v>488572.97714015987</v>
      </c>
      <c r="AP97" s="15">
        <v>332934.25560636225</v>
      </c>
      <c r="AQ97" s="15">
        <v>185512.36585237872</v>
      </c>
      <c r="AR97" s="15">
        <f t="shared" si="25"/>
        <v>147421.88975398353</v>
      </c>
      <c r="AS97" s="15">
        <v>1130832.5547773056</v>
      </c>
      <c r="AT97" s="15">
        <v>750784.11862188485</v>
      </c>
      <c r="AU97" s="15">
        <f t="shared" si="29"/>
        <v>380048.43615542073</v>
      </c>
      <c r="AV97" s="15">
        <v>-409116.99999999994</v>
      </c>
      <c r="AW97" s="15">
        <v>-237307</v>
      </c>
      <c r="AX97" s="15">
        <v>8150721.6129057379</v>
      </c>
      <c r="AY97" s="15">
        <v>7066107</v>
      </c>
      <c r="AZ97" s="15">
        <v>694750.78488604852</v>
      </c>
      <c r="BA97" s="15">
        <v>151218.41451108584</v>
      </c>
      <c r="BB97" s="15">
        <f t="shared" si="26"/>
        <v>543532.37037496269</v>
      </c>
      <c r="BC97" s="15">
        <v>434938.4822837346</v>
      </c>
      <c r="BD97" s="15">
        <v>-45074.654264046076</v>
      </c>
      <c r="BE97" s="15">
        <f t="shared" si="30"/>
        <v>587748</v>
      </c>
      <c r="BF97" s="15">
        <v>5691379</v>
      </c>
      <c r="BG97" s="15">
        <v>1374728</v>
      </c>
      <c r="BH97" s="15">
        <v>471425.02552201826</v>
      </c>
      <c r="BI97" s="15">
        <v>80058.974477981712</v>
      </c>
      <c r="BJ97" s="15">
        <v>160226</v>
      </c>
      <c r="BK97" s="15">
        <v>44252</v>
      </c>
      <c r="BL97" s="15">
        <v>29261.72634980152</v>
      </c>
      <c r="BM97" s="15">
        <v>4969.3242322601927</v>
      </c>
      <c r="BN97" s="15">
        <v>10134.949417938287</v>
      </c>
      <c r="BO97" s="15">
        <v>10394488.302111955</v>
      </c>
      <c r="BP97" s="15">
        <v>1250910.4055820617</v>
      </c>
      <c r="BQ97" s="15">
        <v>910119.35530598368</v>
      </c>
      <c r="BR97" s="15">
        <v>1068458.0630000001</v>
      </c>
      <c r="BS97" s="15">
        <v>121456.00000000013</v>
      </c>
      <c r="BT97" s="15">
        <v>536980</v>
      </c>
      <c r="BU97" s="15">
        <v>31775</v>
      </c>
      <c r="BV97" s="15">
        <v>38261</v>
      </c>
      <c r="BW97" s="15">
        <v>29492</v>
      </c>
      <c r="BX97" s="15">
        <v>18695.000000000018</v>
      </c>
      <c r="BY97" s="15">
        <v>36388</v>
      </c>
      <c r="BZ97" s="15">
        <v>190883</v>
      </c>
      <c r="CA97" s="15">
        <v>18355</v>
      </c>
      <c r="CB97" s="15">
        <v>32028</v>
      </c>
      <c r="CC97" s="15">
        <v>332127</v>
      </c>
      <c r="CD97" s="15">
        <v>304414</v>
      </c>
      <c r="CE97" s="15">
        <v>46.3</v>
      </c>
      <c r="CF97" s="15">
        <v>69957</v>
      </c>
      <c r="CG97" s="15">
        <v>706497.99999999988</v>
      </c>
      <c r="CH97" s="15">
        <v>1962027</v>
      </c>
      <c r="CI97" s="15">
        <v>627411</v>
      </c>
      <c r="CJ97" s="15">
        <v>48585.99999999992</v>
      </c>
      <c r="CK97" s="15">
        <v>215539.00000000003</v>
      </c>
      <c r="CL97" s="15">
        <v>3434966.0000000005</v>
      </c>
      <c r="CM97" s="15">
        <v>2895796</v>
      </c>
      <c r="CN97" s="15">
        <v>-90470.999999999622</v>
      </c>
      <c r="CO97" s="15">
        <v>61212.050582061718</v>
      </c>
      <c r="CP97" s="15">
        <v>-215.70800000006329</v>
      </c>
      <c r="CQ97" s="15">
        <v>428062</v>
      </c>
      <c r="CR97" s="15">
        <v>620943.35499999998</v>
      </c>
      <c r="CS97" s="15">
        <v>363210.00000000006</v>
      </c>
      <c r="CT97" s="15">
        <v>257733.35499999995</v>
      </c>
      <c r="CU97" s="15">
        <v>487848</v>
      </c>
      <c r="CV97" s="15">
        <v>369014.71146899642</v>
      </c>
      <c r="CW97" s="15">
        <v>937217</v>
      </c>
      <c r="CX97" s="15">
        <v>275239</v>
      </c>
      <c r="CY97" s="15">
        <v>54052</v>
      </c>
      <c r="CZ97" s="15">
        <v>30425</v>
      </c>
      <c r="DA97" s="19">
        <v>0</v>
      </c>
      <c r="DB97" s="19">
        <v>0</v>
      </c>
      <c r="DC97" s="19">
        <v>9.3398133832280683E-2</v>
      </c>
      <c r="DD97" s="19">
        <v>0.12420459557833341</v>
      </c>
      <c r="DE97" s="19">
        <v>0.30749011837797213</v>
      </c>
      <c r="DF97" s="19">
        <v>0.25023700936513948</v>
      </c>
      <c r="DG97" s="19">
        <v>0.22467014284627426</v>
      </c>
      <c r="DH97" s="15">
        <v>243379.94941793836</v>
      </c>
      <c r="DI97" s="15">
        <v>10546196.352694016</v>
      </c>
      <c r="DJ97" s="15">
        <v>8584169.3526940159</v>
      </c>
      <c r="DK97" s="15">
        <v>11198651</v>
      </c>
      <c r="DL97" s="18">
        <v>4.3680181558083064E-2</v>
      </c>
      <c r="DM97" s="15">
        <v>6830211</v>
      </c>
      <c r="DN97" s="15">
        <v>5708786.3143828856</v>
      </c>
      <c r="DO97" s="15">
        <v>742071.07675542438</v>
      </c>
      <c r="DP97" s="15">
        <v>162309.72767429455</v>
      </c>
      <c r="DQ97" s="15">
        <v>166355.9455995739</v>
      </c>
      <c r="DR97" s="15">
        <v>50687.935587820735</v>
      </c>
      <c r="DS97" s="15">
        <v>7493268.1400000006</v>
      </c>
      <c r="DT97" s="18">
        <f t="shared" si="31"/>
        <v>0.14998407378059483</v>
      </c>
      <c r="DU97" s="18">
        <f t="shared" si="32"/>
        <v>0.179440945680367</v>
      </c>
      <c r="DV97" s="18">
        <f t="shared" si="33"/>
        <v>6.6101079966516254E-3</v>
      </c>
      <c r="DW97" s="18">
        <f t="shared" si="34"/>
        <v>-5.4607178922621721E-2</v>
      </c>
      <c r="DX97" s="18">
        <f t="shared" si="35"/>
        <v>7.8806037859558045E-2</v>
      </c>
      <c r="DY97" s="18">
        <f t="shared" si="36"/>
        <v>0.43501533222725208</v>
      </c>
      <c r="DZ97" s="18">
        <f t="shared" si="37"/>
        <v>-0.16644856673674463</v>
      </c>
      <c r="EA97" s="18">
        <f t="shared" si="38"/>
        <v>6.5955919757760523E-2</v>
      </c>
      <c r="EB97" s="18">
        <f t="shared" si="39"/>
        <v>0.30524332835718215</v>
      </c>
      <c r="EC97" s="18">
        <f t="shared" si="40"/>
        <v>0.66634006692644587</v>
      </c>
      <c r="ED97" s="18">
        <f t="shared" si="41"/>
        <v>6.5515606330072598E-2</v>
      </c>
      <c r="EE97" s="18">
        <f t="shared" si="42"/>
        <v>5.7840525556009686E-2</v>
      </c>
      <c r="EF97" s="18">
        <f t="shared" si="43"/>
        <v>1.4074297041819289E-2</v>
      </c>
      <c r="EG97" s="18">
        <f t="shared" si="44"/>
        <v>8.6317934864665671E-2</v>
      </c>
      <c r="EH97" s="18">
        <f t="shared" si="45"/>
        <v>2.8719528552158625E-2</v>
      </c>
      <c r="EI97" s="18">
        <f t="shared" si="46"/>
        <v>2.9729853676693938E-2</v>
      </c>
      <c r="EJ97" s="18">
        <f t="shared" si="47"/>
        <v>0.10097935499349926</v>
      </c>
      <c r="EK97" s="18">
        <f t="shared" si="48"/>
        <v>-3.653270380512795E-2</v>
      </c>
      <c r="EL97" s="18">
        <f t="shared" si="49"/>
        <v>-2.1190677341404781E-2</v>
      </c>
      <c r="EM97" s="6">
        <v>1.2545224867238187</v>
      </c>
      <c r="EN97" s="6">
        <v>1.2699106256206554</v>
      </c>
      <c r="EO97" s="6">
        <v>1.2862311802647046</v>
      </c>
      <c r="EP97" s="6">
        <v>1.2425511707477443</v>
      </c>
      <c r="EQ97" s="14">
        <v>213348.60569152678</v>
      </c>
      <c r="ER97" s="14">
        <v>36649.798000000003</v>
      </c>
      <c r="ES97" s="15">
        <v>295993</v>
      </c>
      <c r="ET97" s="15">
        <v>157252</v>
      </c>
      <c r="EU97" s="15">
        <v>5.15</v>
      </c>
      <c r="EV97" s="6">
        <v>90000</v>
      </c>
      <c r="EW97" s="6">
        <v>0.124</v>
      </c>
      <c r="EX97" s="16">
        <v>0.106</v>
      </c>
      <c r="EY97" s="16">
        <v>1.7999999999999999E-2</v>
      </c>
      <c r="EZ97" s="6">
        <v>2.9000000000000001E-2</v>
      </c>
      <c r="FA97" s="20">
        <v>5000</v>
      </c>
      <c r="FB97" s="20">
        <v>7300</v>
      </c>
      <c r="FC97" s="20">
        <v>10000</v>
      </c>
      <c r="FD97" s="17">
        <v>134</v>
      </c>
      <c r="FE97" s="17">
        <v>134</v>
      </c>
      <c r="FF97" s="17">
        <v>153</v>
      </c>
      <c r="FG97" s="17">
        <v>175</v>
      </c>
      <c r="FH97" s="17">
        <v>175</v>
      </c>
      <c r="FI97" s="17">
        <v>776</v>
      </c>
      <c r="FJ97" s="17">
        <v>1041</v>
      </c>
      <c r="FK97" s="17">
        <v>1306</v>
      </c>
      <c r="FL97" s="17">
        <v>1571</v>
      </c>
      <c r="FM97" s="17">
        <v>1836</v>
      </c>
      <c r="FN97" s="17">
        <v>2101</v>
      </c>
      <c r="FO97" s="17">
        <v>2366</v>
      </c>
      <c r="FP97" s="17">
        <v>2631</v>
      </c>
      <c r="FQ97" s="17">
        <v>265</v>
      </c>
      <c r="FR97" s="17">
        <v>149</v>
      </c>
      <c r="FS97" s="17">
        <v>274</v>
      </c>
      <c r="FT97" s="17">
        <v>393</v>
      </c>
      <c r="FU97" s="17">
        <v>499</v>
      </c>
      <c r="FV97" s="17">
        <v>592</v>
      </c>
      <c r="FW97" s="17">
        <v>711</v>
      </c>
      <c r="FX97" s="17">
        <v>786</v>
      </c>
      <c r="FY97" s="17">
        <v>898</v>
      </c>
      <c r="FZ97" s="17">
        <v>112</v>
      </c>
      <c r="GA97" s="17">
        <v>10</v>
      </c>
      <c r="GB97" s="17">
        <v>2000</v>
      </c>
      <c r="GC97" s="17">
        <v>3000</v>
      </c>
      <c r="GD97" s="17">
        <v>2000</v>
      </c>
      <c r="GE97" s="17">
        <v>3000</v>
      </c>
      <c r="GF97" s="17">
        <v>579</v>
      </c>
      <c r="GG97" s="17">
        <v>869</v>
      </c>
      <c r="GH97" s="17">
        <v>0.60599999999999998</v>
      </c>
      <c r="GI97" s="21">
        <v>113441.83766666667</v>
      </c>
      <c r="GJ97" s="6">
        <v>0.21781677710569169</v>
      </c>
      <c r="GK97" s="6">
        <v>0.66425764474364812</v>
      </c>
      <c r="GL97" s="21">
        <v>1130000</v>
      </c>
      <c r="GM97" s="21">
        <v>1130000</v>
      </c>
    </row>
    <row r="98" spans="1:195" ht="15">
      <c r="A98" s="12">
        <v>2006</v>
      </c>
      <c r="B98" s="13">
        <v>0.93282601222693295</v>
      </c>
      <c r="C98" s="15">
        <f t="shared" si="27"/>
        <v>54778976.316964224</v>
      </c>
      <c r="D98" s="15">
        <v>7199557.8656081706</v>
      </c>
      <c r="E98" s="15">
        <v>2123172.1084755729</v>
      </c>
      <c r="F98" s="15">
        <v>5266180.2843918297</v>
      </c>
      <c r="G98" s="15">
        <v>1370408.5584886482</v>
      </c>
      <c r="H98" s="15">
        <v>717040.49999999919</v>
      </c>
      <c r="I98" s="15">
        <v>3775106</v>
      </c>
      <c r="J98" s="15">
        <v>1646078.3050753484</v>
      </c>
      <c r="K98" s="15">
        <v>2129028.1949246516</v>
      </c>
      <c r="L98" s="15">
        <v>1681007.9999999998</v>
      </c>
      <c r="M98" s="15">
        <v>4321417.5</v>
      </c>
      <c r="N98" s="15">
        <v>-9401105.5</v>
      </c>
      <c r="O98" s="15">
        <v>-1233187.9999999998</v>
      </c>
      <c r="P98" s="15">
        <v>23701415.500000004</v>
      </c>
      <c r="Q98" s="15">
        <v>3422487</v>
      </c>
      <c r="R98" s="15">
        <v>13260452.5</v>
      </c>
      <c r="S98" s="15">
        <v>0.52879580234508683</v>
      </c>
      <c r="T98" s="15">
        <v>-2922404</v>
      </c>
      <c r="U98" s="15">
        <v>264239.99999999994</v>
      </c>
      <c r="V98" s="15">
        <v>58819.80025</v>
      </c>
      <c r="W98" s="15">
        <v>11957.673333866778</v>
      </c>
      <c r="X98" s="15">
        <v>6052.8530053292334</v>
      </c>
      <c r="Y98" s="15">
        <v>5328.9917054019998</v>
      </c>
      <c r="Z98" s="15">
        <v>5328.9917054019998</v>
      </c>
      <c r="AA98" s="15">
        <v>12106903.999999998</v>
      </c>
      <c r="AB98" s="15">
        <v>430147</v>
      </c>
      <c r="AC98" s="15">
        <v>330296.80782035954</v>
      </c>
      <c r="AD98" s="15">
        <v>162175.95714022382</v>
      </c>
      <c r="AE98" s="15">
        <v>-13550.469804042883</v>
      </c>
      <c r="AF98" s="15">
        <v>180087</v>
      </c>
      <c r="AG98" s="15">
        <v>195075.00000000003</v>
      </c>
      <c r="AH98" s="15">
        <v>3463949.2951565399</v>
      </c>
      <c r="AI98" s="15">
        <v>830071</v>
      </c>
      <c r="AJ98" s="15">
        <v>674192.59951629571</v>
      </c>
      <c r="AK98" s="15">
        <v>155878.40048370432</v>
      </c>
      <c r="AL98" s="15">
        <f t="shared" si="28"/>
        <v>1075365.5112278019</v>
      </c>
      <c r="AM98" s="15">
        <v>650380.08199419756</v>
      </c>
      <c r="AN98" s="15">
        <v>424985.42923360446</v>
      </c>
      <c r="AO98" s="15">
        <v>547922.6608574111</v>
      </c>
      <c r="AP98" s="15">
        <v>359387.88842467475</v>
      </c>
      <c r="AQ98" s="15">
        <v>200545.82988059433</v>
      </c>
      <c r="AR98" s="15">
        <f t="shared" si="25"/>
        <v>158842.05854408041</v>
      </c>
      <c r="AS98" s="15">
        <v>1239109.7473104708</v>
      </c>
      <c r="AT98" s="15">
        <v>796933.30984654953</v>
      </c>
      <c r="AU98" s="15">
        <f t="shared" si="29"/>
        <v>442176.43746392126</v>
      </c>
      <c r="AV98" s="15">
        <v>-469613</v>
      </c>
      <c r="AW98" s="15">
        <v>-266920</v>
      </c>
      <c r="AX98" s="15">
        <v>8642954.7048434597</v>
      </c>
      <c r="AY98" s="15">
        <v>7479675.9999999991</v>
      </c>
      <c r="AZ98" s="15">
        <v>747399.19217964017</v>
      </c>
      <c r="BA98" s="15">
        <v>160395.83556024844</v>
      </c>
      <c r="BB98" s="15">
        <f t="shared" si="26"/>
        <v>587003.35661939171</v>
      </c>
      <c r="BC98" s="15">
        <v>453796.04285977618</v>
      </c>
      <c r="BD98" s="15">
        <v>-37916.530195957115</v>
      </c>
      <c r="BE98" s="15">
        <f t="shared" si="30"/>
        <v>615972</v>
      </c>
      <c r="BF98" s="15">
        <v>6056739</v>
      </c>
      <c r="BG98" s="15">
        <v>1422937.0000000007</v>
      </c>
      <c r="BH98" s="15">
        <v>499237.26422248298</v>
      </c>
      <c r="BI98" s="15">
        <v>84771.735777517053</v>
      </c>
      <c r="BJ98" s="15">
        <v>170478</v>
      </c>
      <c r="BK98" s="15">
        <v>43345</v>
      </c>
      <c r="BL98" s="15">
        <v>31150.385728289581</v>
      </c>
      <c r="BM98" s="15">
        <v>5289.413386316246</v>
      </c>
      <c r="BN98" s="15">
        <v>10843.200885394173</v>
      </c>
      <c r="BO98" s="15">
        <v>11034918.028799845</v>
      </c>
      <c r="BP98" s="15">
        <v>1332486.8201146061</v>
      </c>
      <c r="BQ98" s="15">
        <v>1003946.170918881</v>
      </c>
      <c r="BR98" s="15">
        <v>1137832.0198333333</v>
      </c>
      <c r="BS98" s="15">
        <v>126615.00000000001</v>
      </c>
      <c r="BT98" s="15">
        <v>563060.99999999988</v>
      </c>
      <c r="BU98" s="15">
        <v>30366</v>
      </c>
      <c r="BV98" s="15">
        <v>39903</v>
      </c>
      <c r="BW98" s="15">
        <v>29390</v>
      </c>
      <c r="BX98" s="15">
        <v>24751.000000000036</v>
      </c>
      <c r="BY98" s="15">
        <v>38871</v>
      </c>
      <c r="BZ98" s="15">
        <v>201906.00000000006</v>
      </c>
      <c r="CA98" s="15">
        <v>18226</v>
      </c>
      <c r="CB98" s="15">
        <v>32968</v>
      </c>
      <c r="CC98" s="15">
        <v>399107</v>
      </c>
      <c r="CD98" s="15">
        <v>299100</v>
      </c>
      <c r="CE98" s="15">
        <v>46.7</v>
      </c>
      <c r="CF98" s="15">
        <v>73065</v>
      </c>
      <c r="CG98" s="15">
        <v>771272.00000000012</v>
      </c>
      <c r="CH98" s="15">
        <v>2072953</v>
      </c>
      <c r="CI98" s="15">
        <v>663078</v>
      </c>
      <c r="CJ98" s="15">
        <v>57229.000000000073</v>
      </c>
      <c r="CK98" s="15">
        <v>217841.00000000006</v>
      </c>
      <c r="CL98" s="15">
        <v>3733859.9999999995</v>
      </c>
      <c r="CM98" s="15">
        <v>3085002.0000000005</v>
      </c>
      <c r="CN98" s="15">
        <v>4006.0000000001546</v>
      </c>
      <c r="CO98" s="15">
        <v>70366.799114605848</v>
      </c>
      <c r="CP98" s="15">
        <v>-2326.9988333333913</v>
      </c>
      <c r="CQ98" s="15">
        <v>447306</v>
      </c>
      <c r="CR98" s="15">
        <v>668693.02100000007</v>
      </c>
      <c r="CS98" s="15">
        <v>383170</v>
      </c>
      <c r="CT98" s="15">
        <v>285523.02100000007</v>
      </c>
      <c r="CU98" s="15">
        <v>497339</v>
      </c>
      <c r="CV98" s="15">
        <v>393233.3878881096</v>
      </c>
      <c r="CW98" s="15">
        <v>1055847</v>
      </c>
      <c r="CX98" s="15">
        <v>301116</v>
      </c>
      <c r="CY98" s="15">
        <v>56668</v>
      </c>
      <c r="CZ98" s="15">
        <v>33078</v>
      </c>
      <c r="DA98" s="19">
        <v>0</v>
      </c>
      <c r="DB98" s="19">
        <v>0</v>
      </c>
      <c r="DC98" s="19">
        <v>8.0313802494442976E-2</v>
      </c>
      <c r="DD98" s="19">
        <v>0.11264507759930775</v>
      </c>
      <c r="DE98" s="19">
        <v>0.30292102265310039</v>
      </c>
      <c r="DF98" s="19">
        <v>0.26956719689934783</v>
      </c>
      <c r="DG98" s="19">
        <v>0.23455290035380105</v>
      </c>
      <c r="DH98" s="15">
        <v>258744.20088539409</v>
      </c>
      <c r="DI98" s="15">
        <v>11101320.82791445</v>
      </c>
      <c r="DJ98" s="15">
        <v>9028367.8279144522</v>
      </c>
      <c r="DK98" s="15">
        <v>11946291.999999998</v>
      </c>
      <c r="DL98" s="18">
        <v>3.0529341704282089E-2</v>
      </c>
      <c r="DM98" s="15">
        <v>7306449.3195187682</v>
      </c>
      <c r="DN98" s="15">
        <v>6052211.1109165354</v>
      </c>
      <c r="DO98" s="15">
        <v>779783.76986187522</v>
      </c>
      <c r="DP98" s="15">
        <v>222824.39090719243</v>
      </c>
      <c r="DQ98" s="15">
        <v>199463.83148182606</v>
      </c>
      <c r="DR98" s="15">
        <v>52166.216351338066</v>
      </c>
      <c r="DS98" s="15">
        <v>8077494.9425187679</v>
      </c>
      <c r="DT98" s="18">
        <f t="shared" si="31"/>
        <v>0.16211631656318473</v>
      </c>
      <c r="DU98" s="18">
        <f t="shared" si="32"/>
        <v>0.1730007037101427</v>
      </c>
      <c r="DV98" s="18">
        <f t="shared" si="33"/>
        <v>4.8237484116359581E-3</v>
      </c>
      <c r="DW98" s="18">
        <f t="shared" si="34"/>
        <v>-5.3349007164541981E-2</v>
      </c>
      <c r="DX98" s="18">
        <f t="shared" si="35"/>
        <v>7.8888248568123057E-2</v>
      </c>
      <c r="DY98" s="18">
        <f t="shared" si="36"/>
        <v>0.43267357467320966</v>
      </c>
      <c r="DZ98" s="18">
        <f t="shared" si="37"/>
        <v>-0.17161886059357812</v>
      </c>
      <c r="EA98" s="18">
        <f t="shared" si="38"/>
        <v>6.8915234526405467E-2</v>
      </c>
      <c r="EB98" s="18">
        <f t="shared" si="39"/>
        <v>0.30455004130541857</v>
      </c>
      <c r="EC98" s="18">
        <f t="shared" si="40"/>
        <v>0.66064401904974468</v>
      </c>
      <c r="ED98" s="18">
        <f t="shared" si="41"/>
        <v>6.6014197159889015E-2</v>
      </c>
      <c r="EE98" s="18">
        <f t="shared" si="42"/>
        <v>5.6435302227360241E-2</v>
      </c>
      <c r="EF98" s="18">
        <f t="shared" si="43"/>
        <v>1.3048266397950455E-2</v>
      </c>
      <c r="EG98" s="18">
        <f t="shared" si="44"/>
        <v>9.0016677244102367E-2</v>
      </c>
      <c r="EH98" s="18">
        <f t="shared" si="45"/>
        <v>3.2420993966781587E-2</v>
      </c>
      <c r="EI98" s="18">
        <f t="shared" si="46"/>
        <v>3.0083635024547768E-2</v>
      </c>
      <c r="EJ98" s="18">
        <f t="shared" si="47"/>
        <v>0.10372337686961536</v>
      </c>
      <c r="EK98" s="18">
        <f t="shared" si="48"/>
        <v>-3.9310356719892671E-2</v>
      </c>
      <c r="EL98" s="18">
        <f t="shared" si="49"/>
        <v>-2.2343334651455032E-2</v>
      </c>
      <c r="EM98" s="6">
        <v>1.2166662701905466</v>
      </c>
      <c r="EN98" s="6">
        <v>1.2323110650702258</v>
      </c>
      <c r="EO98" s="6">
        <v>1.2453984443832855</v>
      </c>
      <c r="EP98" s="6">
        <v>1.2085149218379914</v>
      </c>
      <c r="EQ98" s="14">
        <v>215896.60788327493</v>
      </c>
      <c r="ER98" s="14">
        <v>37164.107000000004</v>
      </c>
      <c r="ES98" s="15">
        <v>298818</v>
      </c>
      <c r="ET98" s="15">
        <v>159136</v>
      </c>
      <c r="EU98" s="15">
        <v>5.15</v>
      </c>
      <c r="EV98" s="6">
        <v>94200</v>
      </c>
      <c r="EW98" s="6">
        <v>0.124</v>
      </c>
      <c r="EX98" s="16">
        <v>0.106</v>
      </c>
      <c r="EY98" s="16">
        <v>1.7999999999999999E-2</v>
      </c>
      <c r="EZ98" s="6">
        <v>2.9000000000000001E-2</v>
      </c>
      <c r="FA98" s="20">
        <v>5150</v>
      </c>
      <c r="FB98" s="20">
        <v>7550</v>
      </c>
      <c r="FC98" s="20">
        <v>10300</v>
      </c>
      <c r="FD98" s="17">
        <v>134</v>
      </c>
      <c r="FE98" s="17">
        <v>134</v>
      </c>
      <c r="FF98" s="17">
        <v>157</v>
      </c>
      <c r="FG98" s="17">
        <v>179</v>
      </c>
      <c r="FH98" s="17">
        <v>175</v>
      </c>
      <c r="FI98" s="17">
        <v>798</v>
      </c>
      <c r="FJ98" s="17">
        <v>1070</v>
      </c>
      <c r="FK98" s="17">
        <v>1341</v>
      </c>
      <c r="FL98" s="17">
        <v>1613</v>
      </c>
      <c r="FM98" s="17">
        <v>1885</v>
      </c>
      <c r="FN98" s="17">
        <v>2156</v>
      </c>
      <c r="FO98" s="17">
        <v>2428</v>
      </c>
      <c r="FP98" s="17">
        <v>2700</v>
      </c>
      <c r="FQ98" s="17">
        <v>272</v>
      </c>
      <c r="FR98" s="17">
        <v>152</v>
      </c>
      <c r="FS98" s="17">
        <v>278</v>
      </c>
      <c r="FT98" s="17">
        <v>399</v>
      </c>
      <c r="FU98" s="17">
        <v>506</v>
      </c>
      <c r="FV98" s="17">
        <v>601</v>
      </c>
      <c r="FW98" s="17">
        <v>722</v>
      </c>
      <c r="FX98" s="17">
        <v>798</v>
      </c>
      <c r="FY98" s="17">
        <v>912</v>
      </c>
      <c r="FZ98" s="17">
        <v>114</v>
      </c>
      <c r="GA98" s="17">
        <v>10</v>
      </c>
      <c r="GB98" s="17">
        <v>2000</v>
      </c>
      <c r="GC98" s="17">
        <v>3000</v>
      </c>
      <c r="GD98" s="17">
        <v>2000</v>
      </c>
      <c r="GE98" s="17">
        <v>3000</v>
      </c>
      <c r="GF98" s="17">
        <v>603</v>
      </c>
      <c r="GG98" s="17">
        <v>904</v>
      </c>
      <c r="GH98" s="17">
        <v>0.65300000000000002</v>
      </c>
      <c r="GI98" s="21">
        <v>114774.73933333335</v>
      </c>
      <c r="GJ98" s="6">
        <v>0.25553615669118485</v>
      </c>
      <c r="GK98" s="6">
        <v>0.74278546577295002</v>
      </c>
      <c r="GL98" s="21">
        <v>1260000</v>
      </c>
      <c r="GM98" s="21">
        <v>1260000</v>
      </c>
    </row>
    <row r="99" spans="1:195" ht="15">
      <c r="A99" s="12">
        <v>2007</v>
      </c>
      <c r="B99" s="13">
        <v>0.95398832360300245</v>
      </c>
      <c r="C99" s="15">
        <f t="shared" si="27"/>
        <v>57440585.091634251</v>
      </c>
      <c r="D99" s="15">
        <v>7909289.3086110437</v>
      </c>
      <c r="E99" s="15">
        <v>2170744.5799347321</v>
      </c>
      <c r="F99" s="15">
        <v>5909855.3913889546</v>
      </c>
      <c r="G99" s="15">
        <v>1688117.8116995161</v>
      </c>
      <c r="H99" s="15">
        <v>751462.00000000291</v>
      </c>
      <c r="I99" s="15">
        <v>4189021.5</v>
      </c>
      <c r="J99" s="15">
        <v>1708288.4189611496</v>
      </c>
      <c r="K99" s="15">
        <v>2480733.5810388485</v>
      </c>
      <c r="L99" s="15">
        <v>1853260</v>
      </c>
      <c r="M99" s="15">
        <v>4248446</v>
      </c>
      <c r="N99" s="15">
        <v>-10238239</v>
      </c>
      <c r="O99" s="15">
        <v>-1354264</v>
      </c>
      <c r="P99" s="15">
        <v>23677589.5</v>
      </c>
      <c r="Q99" s="15">
        <v>4061999</v>
      </c>
      <c r="R99" s="15">
        <v>14179315.999999998</v>
      </c>
      <c r="S99" s="15">
        <v>0.5262285247455557</v>
      </c>
      <c r="T99" s="15">
        <v>-3146109.4999999995</v>
      </c>
      <c r="U99" s="15">
        <v>185832.49999999997</v>
      </c>
      <c r="V99" s="15">
        <v>83317.690400000007</v>
      </c>
      <c r="W99" s="15">
        <v>13986.802005930902</v>
      </c>
      <c r="X99" s="15">
        <v>7072.0443043975656</v>
      </c>
      <c r="Y99" s="15">
        <v>4887.7906448357598</v>
      </c>
      <c r="Z99" s="15">
        <v>4887.7906448357598</v>
      </c>
      <c r="AA99" s="15">
        <v>12481077.000000002</v>
      </c>
      <c r="AB99" s="15">
        <v>391782</v>
      </c>
      <c r="AC99" s="15">
        <v>310984.91187986318</v>
      </c>
      <c r="AD99" s="15">
        <v>157425.85636475531</v>
      </c>
      <c r="AE99" s="15">
        <v>-13853.536272613224</v>
      </c>
      <c r="AF99" s="15">
        <v>193723</v>
      </c>
      <c r="AG99" s="15">
        <v>209964.99999999997</v>
      </c>
      <c r="AH99" s="15">
        <v>3468955.2319720061</v>
      </c>
      <c r="AI99" s="15">
        <v>892579.00000000012</v>
      </c>
      <c r="AJ99" s="15">
        <v>730509.9619921702</v>
      </c>
      <c r="AK99" s="15">
        <v>162069.03800782977</v>
      </c>
      <c r="AL99" s="15">
        <f t="shared" si="28"/>
        <v>1054073.8283975641</v>
      </c>
      <c r="AM99" s="15">
        <v>619854.72901769879</v>
      </c>
      <c r="AN99" s="15">
        <v>434219.09937986528</v>
      </c>
      <c r="AO99" s="15">
        <v>604939.9169328711</v>
      </c>
      <c r="AP99" s="15">
        <v>342311.48248076229</v>
      </c>
      <c r="AQ99" s="15">
        <v>187161.53962855501</v>
      </c>
      <c r="AR99" s="15">
        <f t="shared" si="25"/>
        <v>155149.94285220728</v>
      </c>
      <c r="AS99" s="15">
        <v>1240611.6840686668</v>
      </c>
      <c r="AT99" s="15">
        <v>752286.01102676103</v>
      </c>
      <c r="AU99" s="15">
        <f t="shared" si="29"/>
        <v>488325.67304190574</v>
      </c>
      <c r="AV99" s="15">
        <v>-517891.00000000006</v>
      </c>
      <c r="AW99" s="15">
        <v>-291242.00000000006</v>
      </c>
      <c r="AX99" s="15">
        <v>9012121.7680279948</v>
      </c>
      <c r="AY99" s="15">
        <v>7878475</v>
      </c>
      <c r="AZ99" s="15">
        <v>711533.08812013711</v>
      </c>
      <c r="BA99" s="15">
        <v>141692.39648536043</v>
      </c>
      <c r="BB99" s="15">
        <f t="shared" si="26"/>
        <v>569840.69163477665</v>
      </c>
      <c r="BC99" s="15">
        <v>462844.14363524463</v>
      </c>
      <c r="BD99" s="15">
        <v>-40730.46372738677</v>
      </c>
      <c r="BE99" s="15">
        <f t="shared" si="30"/>
        <v>620270</v>
      </c>
      <c r="BF99" s="15">
        <v>6396392</v>
      </c>
      <c r="BG99" s="15">
        <v>1482083.0000000005</v>
      </c>
      <c r="BH99" s="15">
        <v>522757.16207248671</v>
      </c>
      <c r="BI99" s="15">
        <v>88769.837927513247</v>
      </c>
      <c r="BJ99" s="15">
        <v>180130</v>
      </c>
      <c r="BK99" s="15">
        <v>40998</v>
      </c>
      <c r="BL99" s="15">
        <v>32538.317781403577</v>
      </c>
      <c r="BM99" s="15">
        <v>5525.3593933326219</v>
      </c>
      <c r="BN99" s="15">
        <v>11430.322825263795</v>
      </c>
      <c r="BO99" s="15">
        <v>11442756.650282932</v>
      </c>
      <c r="BP99" s="15">
        <v>1403953.6961747361</v>
      </c>
      <c r="BQ99" s="15">
        <v>1014101.9108756669</v>
      </c>
      <c r="BR99" s="15">
        <v>1246350.2573333334</v>
      </c>
      <c r="BS99" s="15">
        <v>133385</v>
      </c>
      <c r="BT99" s="15">
        <v>602031.00000000012</v>
      </c>
      <c r="BU99" s="15">
        <v>32740.000000000004</v>
      </c>
      <c r="BV99" s="15">
        <v>42201</v>
      </c>
      <c r="BW99" s="15">
        <v>30921</v>
      </c>
      <c r="BX99" s="15">
        <v>18418.000000000055</v>
      </c>
      <c r="BY99" s="15">
        <v>41671</v>
      </c>
      <c r="BZ99" s="15">
        <v>206027.00000000003</v>
      </c>
      <c r="CA99" s="15">
        <v>18406</v>
      </c>
      <c r="CB99" s="15">
        <v>35958</v>
      </c>
      <c r="CC99" s="15">
        <v>428201</v>
      </c>
      <c r="CD99" s="15">
        <v>324189</v>
      </c>
      <c r="CE99" s="15">
        <v>46.417325599999998</v>
      </c>
      <c r="CF99" s="15">
        <v>75809</v>
      </c>
      <c r="CG99" s="15">
        <v>828199.00000000012</v>
      </c>
      <c r="CH99" s="15">
        <v>2198532</v>
      </c>
      <c r="CI99" s="15">
        <v>708127</v>
      </c>
      <c r="CJ99" s="15">
        <v>59751.999999999862</v>
      </c>
      <c r="CK99" s="15">
        <v>237338.99999999997</v>
      </c>
      <c r="CL99" s="15">
        <v>3901566.0000000005</v>
      </c>
      <c r="CM99" s="15">
        <v>3274429</v>
      </c>
      <c r="CN99" s="15">
        <v>-62173.999999999593</v>
      </c>
      <c r="CO99" s="15">
        <v>55817.677174736164</v>
      </c>
      <c r="CP99" s="15">
        <v>-31599.238333333346</v>
      </c>
      <c r="CQ99" s="15">
        <v>461669</v>
      </c>
      <c r="CR99" s="15">
        <v>713365.01899999997</v>
      </c>
      <c r="CS99" s="15">
        <v>407509</v>
      </c>
      <c r="CT99" s="15">
        <v>305856.01900000003</v>
      </c>
      <c r="CU99" s="15">
        <v>517139</v>
      </c>
      <c r="CV99" s="15">
        <v>341798.55231641774</v>
      </c>
      <c r="CW99" s="15">
        <v>1170901</v>
      </c>
      <c r="CX99" s="15">
        <v>321588</v>
      </c>
      <c r="CY99" s="15">
        <v>60123</v>
      </c>
      <c r="CZ99" s="15">
        <v>31927</v>
      </c>
      <c r="DA99" s="19">
        <v>0</v>
      </c>
      <c r="DB99" s="19">
        <v>0</v>
      </c>
      <c r="DC99" s="19">
        <v>6.722947115660538E-2</v>
      </c>
      <c r="DD99" s="19">
        <v>0.10108555962028198</v>
      </c>
      <c r="DE99" s="19">
        <v>0.29835192692822876</v>
      </c>
      <c r="DF99" s="19">
        <v>0.28889738443355606</v>
      </c>
      <c r="DG99" s="19">
        <v>0.24443565786132784</v>
      </c>
      <c r="DH99" s="15">
        <v>270821.32282526366</v>
      </c>
      <c r="DI99" s="15">
        <v>11560792.327457668</v>
      </c>
      <c r="DJ99" s="15">
        <v>9362260.3274576683</v>
      </c>
      <c r="DK99" s="15">
        <v>12303490.000000002</v>
      </c>
      <c r="DL99" s="18">
        <v>3.4227287363043805E-2</v>
      </c>
      <c r="DM99" s="15">
        <v>7805494.7922576042</v>
      </c>
      <c r="DN99" s="15">
        <v>6490553.5035696337</v>
      </c>
      <c r="DO99" s="15">
        <v>754793.15018430282</v>
      </c>
      <c r="DP99" s="15">
        <v>268541.50639108004</v>
      </c>
      <c r="DQ99" s="15">
        <v>237479.54568232363</v>
      </c>
      <c r="DR99" s="15">
        <v>54127.086430264353</v>
      </c>
      <c r="DS99" s="15">
        <v>8701168.7762576044</v>
      </c>
      <c r="DT99" s="18">
        <f t="shared" si="31"/>
        <v>0.1699590854277854</v>
      </c>
      <c r="DU99" s="18">
        <f t="shared" si="32"/>
        <v>0.1831488966597484</v>
      </c>
      <c r="DV99" s="18">
        <f t="shared" si="33"/>
        <v>3.2352125192238847E-3</v>
      </c>
      <c r="DW99" s="18">
        <f t="shared" si="34"/>
        <v>-5.4771543412746405E-2</v>
      </c>
      <c r="DX99" s="18">
        <f t="shared" si="35"/>
        <v>7.3962442987349566E-2</v>
      </c>
      <c r="DY99" s="18">
        <f t="shared" si="36"/>
        <v>0.41221010305217881</v>
      </c>
      <c r="DZ99" s="18">
        <f t="shared" si="37"/>
        <v>-0.17824050684140952</v>
      </c>
      <c r="EA99" s="18">
        <f t="shared" si="38"/>
        <v>7.2927904430592175E-2</v>
      </c>
      <c r="EB99" s="18">
        <f t="shared" si="39"/>
        <v>0.31756840517727764</v>
      </c>
      <c r="EC99" s="18">
        <f t="shared" si="40"/>
        <v>0.6748475870768349</v>
      </c>
      <c r="ED99" s="18">
        <f t="shared" si="41"/>
        <v>6.0947884919759651E-2</v>
      </c>
      <c r="EE99" s="18">
        <f t="shared" si="42"/>
        <v>5.937420699266388E-2</v>
      </c>
      <c r="EF99" s="18">
        <f t="shared" si="43"/>
        <v>1.3172606960125115E-2</v>
      </c>
      <c r="EG99" s="18">
        <f t="shared" si="44"/>
        <v>8.5672750447032833E-2</v>
      </c>
      <c r="EH99" s="18">
        <f t="shared" si="45"/>
        <v>3.473428408791903E-2</v>
      </c>
      <c r="EI99" s="18">
        <f t="shared" si="46"/>
        <v>2.7822307530689441E-2</v>
      </c>
      <c r="EJ99" s="18">
        <f t="shared" si="47"/>
        <v>0.10083412788311825</v>
      </c>
      <c r="EK99" s="18">
        <f t="shared" si="48"/>
        <v>-4.2093015884110928E-2</v>
      </c>
      <c r="EL99" s="18">
        <f t="shared" si="49"/>
        <v>-2.3671494836018075E-2</v>
      </c>
      <c r="EM99" s="6">
        <v>1.1845701315545674</v>
      </c>
      <c r="EN99" s="6">
        <v>1.1983600796532738</v>
      </c>
      <c r="EO99" s="6">
        <v>1.211042625227885</v>
      </c>
      <c r="EP99" s="6">
        <v>1.1782765827242601</v>
      </c>
      <c r="EQ99" s="14">
        <v>218456.65775859603</v>
      </c>
      <c r="ER99" s="22">
        <v>37139.10328094061</v>
      </c>
      <c r="ES99" s="15">
        <v>301696</v>
      </c>
      <c r="ET99" s="15">
        <v>161361</v>
      </c>
      <c r="EU99" s="15">
        <v>5.85</v>
      </c>
      <c r="EV99" s="6">
        <v>97500</v>
      </c>
      <c r="EW99" s="6">
        <v>0.124</v>
      </c>
      <c r="EX99" s="16">
        <v>0.106</v>
      </c>
      <c r="EY99" s="16">
        <v>1.7999999999999999E-2</v>
      </c>
      <c r="EZ99" s="6">
        <v>2.9000000000000001E-2</v>
      </c>
      <c r="FA99" s="20">
        <v>5350</v>
      </c>
      <c r="FB99" s="20">
        <v>7850</v>
      </c>
      <c r="FC99" s="20">
        <v>10700</v>
      </c>
      <c r="FD99" s="17">
        <v>134</v>
      </c>
      <c r="FE99" s="17">
        <v>139</v>
      </c>
      <c r="FF99" s="17">
        <v>162</v>
      </c>
      <c r="FG99" s="17">
        <v>186</v>
      </c>
      <c r="FH99" s="17">
        <v>175</v>
      </c>
      <c r="FI99" s="17">
        <v>817</v>
      </c>
      <c r="FJ99" s="17">
        <v>1100</v>
      </c>
      <c r="FK99" s="17">
        <v>1384</v>
      </c>
      <c r="FL99" s="17">
        <v>1667</v>
      </c>
      <c r="FM99" s="17">
        <v>1950</v>
      </c>
      <c r="FN99" s="17">
        <v>2234</v>
      </c>
      <c r="FO99" s="17">
        <v>2517</v>
      </c>
      <c r="FP99" s="17">
        <v>2800</v>
      </c>
      <c r="FQ99" s="17">
        <v>284</v>
      </c>
      <c r="FR99" s="17">
        <v>155</v>
      </c>
      <c r="FS99" s="17">
        <v>284</v>
      </c>
      <c r="FT99" s="17">
        <v>408</v>
      </c>
      <c r="FU99" s="17">
        <v>518</v>
      </c>
      <c r="FV99" s="17">
        <v>615</v>
      </c>
      <c r="FW99" s="17">
        <v>738</v>
      </c>
      <c r="FX99" s="17">
        <v>816</v>
      </c>
      <c r="FY99" s="17">
        <v>932</v>
      </c>
      <c r="FZ99" s="17">
        <v>117</v>
      </c>
      <c r="GA99" s="17">
        <v>10</v>
      </c>
      <c r="GB99" s="17">
        <v>2000</v>
      </c>
      <c r="GC99" s="17">
        <v>3000</v>
      </c>
      <c r="GD99" s="17">
        <v>2000</v>
      </c>
      <c r="GE99" s="17">
        <v>3000</v>
      </c>
      <c r="GF99" s="17">
        <v>623</v>
      </c>
      <c r="GG99" s="17">
        <v>934</v>
      </c>
      <c r="GH99" s="17">
        <v>0.65500000000000003</v>
      </c>
      <c r="GI99" s="21">
        <v>116107.641</v>
      </c>
      <c r="GJ99" s="6">
        <v>0.32006221899000897</v>
      </c>
      <c r="GK99" s="6">
        <v>0.7959184671829882</v>
      </c>
      <c r="GL99" s="21">
        <v>1760392</v>
      </c>
      <c r="GM99" s="21">
        <v>1540000</v>
      </c>
    </row>
    <row r="100" spans="1:195" ht="15">
      <c r="A100" s="12">
        <v>2008</v>
      </c>
      <c r="B100" s="13">
        <v>0.93433773661633723</v>
      </c>
      <c r="C100" s="15">
        <f t="shared" si="27"/>
        <v>53003353.50265415</v>
      </c>
      <c r="D100" s="15">
        <v>5962787.4015730023</v>
      </c>
      <c r="E100" s="15">
        <v>2088084.6335343139</v>
      </c>
      <c r="F100" s="15">
        <v>7060833.1484269975</v>
      </c>
      <c r="G100" s="15">
        <v>2046546.8191198388</v>
      </c>
      <c r="H100" s="15">
        <v>810015.00000000349</v>
      </c>
      <c r="I100" s="15">
        <v>4026037.9999999995</v>
      </c>
      <c r="J100" s="15">
        <v>1617751.4674412222</v>
      </c>
      <c r="K100" s="15">
        <v>2408286.5325587778</v>
      </c>
      <c r="L100" s="15">
        <v>1626459</v>
      </c>
      <c r="M100" s="15">
        <v>3775997.0000000005</v>
      </c>
      <c r="N100" s="15">
        <v>-10558600</v>
      </c>
      <c r="O100" s="15">
        <v>-1427031.5</v>
      </c>
      <c r="P100" s="15">
        <v>22069818.5</v>
      </c>
      <c r="Q100" s="15">
        <v>3813500</v>
      </c>
      <c r="R100" s="15">
        <v>13223508.5</v>
      </c>
      <c r="S100" s="15">
        <v>0.47662707785398234</v>
      </c>
      <c r="T100" s="15">
        <v>-3208814.9999999995</v>
      </c>
      <c r="U100" s="15">
        <v>267180.5</v>
      </c>
      <c r="V100" s="15">
        <v>102555.84305</v>
      </c>
      <c r="W100" s="15">
        <v>14269.350279286098</v>
      </c>
      <c r="X100" s="15">
        <v>7566.2433804851771</v>
      </c>
      <c r="Y100" s="15">
        <v>4784.8906451143675</v>
      </c>
      <c r="Z100" s="15">
        <v>4784.8906451143675</v>
      </c>
      <c r="AA100" s="15">
        <v>12554725.999999998</v>
      </c>
      <c r="AB100" s="15">
        <v>255918</v>
      </c>
      <c r="AC100" s="15">
        <v>348478.30384538288</v>
      </c>
      <c r="AD100" s="15">
        <v>153357.60729563882</v>
      </c>
      <c r="AE100" s="15">
        <v>-13056.082351381077</v>
      </c>
      <c r="AF100" s="15">
        <v>198295</v>
      </c>
      <c r="AG100" s="15">
        <v>217379</v>
      </c>
      <c r="AH100" s="15">
        <v>3431227.8287896407</v>
      </c>
      <c r="AI100" s="15">
        <v>1003076.0000000001</v>
      </c>
      <c r="AJ100" s="15">
        <v>820822.95845950639</v>
      </c>
      <c r="AK100" s="15">
        <v>182253.04154049375</v>
      </c>
      <c r="AL100" s="15">
        <f t="shared" si="28"/>
        <v>941210.93157302146</v>
      </c>
      <c r="AM100" s="15">
        <v>514048.4058581384</v>
      </c>
      <c r="AN100" s="15">
        <v>427162.52571488306</v>
      </c>
      <c r="AO100" s="15">
        <v>620883.85310622572</v>
      </c>
      <c r="AP100" s="15">
        <v>380781.69927404949</v>
      </c>
      <c r="AQ100" s="15">
        <v>255562.14524436501</v>
      </c>
      <c r="AR100" s="15">
        <f t="shared" si="25"/>
        <v>125219.55402968448</v>
      </c>
      <c r="AS100" s="15">
        <v>1151149.8198920866</v>
      </c>
      <c r="AT100" s="15">
        <v>700046.26551109401</v>
      </c>
      <c r="AU100" s="15">
        <f t="shared" si="29"/>
        <v>451103.55438099254</v>
      </c>
      <c r="AV100" s="15">
        <v>-534178.00000000012</v>
      </c>
      <c r="AW100" s="15">
        <v>-271998</v>
      </c>
      <c r="AX100" s="15">
        <v>9123498.1712103579</v>
      </c>
      <c r="AY100" s="15">
        <v>8056825.9999999991</v>
      </c>
      <c r="AZ100" s="15">
        <v>642192.69615461701</v>
      </c>
      <c r="BA100" s="15">
        <v>192432.96414270197</v>
      </c>
      <c r="BB100" s="15">
        <f t="shared" si="26"/>
        <v>449759.73201191507</v>
      </c>
      <c r="BC100" s="15">
        <v>463980.39270436118</v>
      </c>
      <c r="BD100" s="15">
        <v>-39500.917648618924</v>
      </c>
      <c r="BE100" s="15">
        <f t="shared" si="30"/>
        <v>617338</v>
      </c>
      <c r="BF100" s="15">
        <v>6534097</v>
      </c>
      <c r="BG100" s="15">
        <v>1522729.0000000002</v>
      </c>
      <c r="BH100" s="15">
        <v>540245.19643784384</v>
      </c>
      <c r="BI100" s="15">
        <v>91739.80356215623</v>
      </c>
      <c r="BJ100" s="15">
        <v>183838.00000000003</v>
      </c>
      <c r="BK100" s="15">
        <v>39093</v>
      </c>
      <c r="BL100" s="15">
        <v>33037.388278230683</v>
      </c>
      <c r="BM100" s="15">
        <v>5610.1257925766122</v>
      </c>
      <c r="BN100" s="15">
        <v>11466.485929192699</v>
      </c>
      <c r="BO100" s="15">
        <v>11646431.841278693</v>
      </c>
      <c r="BP100" s="15">
        <v>1443364.3600708074</v>
      </c>
      <c r="BQ100" s="15">
        <v>928682.23831716599</v>
      </c>
      <c r="BR100" s="15">
        <v>1301418.4396666666</v>
      </c>
      <c r="BS100" s="15">
        <v>162333.99999999983</v>
      </c>
      <c r="BT100" s="15">
        <v>632782</v>
      </c>
      <c r="BU100" s="15">
        <v>51148</v>
      </c>
      <c r="BV100" s="15">
        <v>44016.999999999993</v>
      </c>
      <c r="BW100" s="15">
        <v>37034</v>
      </c>
      <c r="BX100" s="15">
        <v>20035.999999999982</v>
      </c>
      <c r="BY100" s="15">
        <v>45039</v>
      </c>
      <c r="BZ100" s="15">
        <v>320733.99999999994</v>
      </c>
      <c r="CA100" s="15">
        <v>19126</v>
      </c>
      <c r="CB100" s="15">
        <v>40613</v>
      </c>
      <c r="CC100" s="15">
        <v>461613</v>
      </c>
      <c r="CD100" s="15">
        <v>338333</v>
      </c>
      <c r="CE100" s="15">
        <v>47.664812340000005</v>
      </c>
      <c r="CF100" s="15">
        <v>85200</v>
      </c>
      <c r="CG100" s="15">
        <v>885146.00000000012</v>
      </c>
      <c r="CH100" s="15">
        <v>2353440</v>
      </c>
      <c r="CI100" s="15">
        <v>749532</v>
      </c>
      <c r="CJ100" s="15">
        <v>45247.000000000058</v>
      </c>
      <c r="CK100" s="15">
        <v>236484.00000000003</v>
      </c>
      <c r="CL100" s="15">
        <v>3818484.0000000009</v>
      </c>
      <c r="CM100" s="15">
        <v>3604359.0000000005</v>
      </c>
      <c r="CN100" s="15">
        <v>-522308.99999999977</v>
      </c>
      <c r="CO100" s="15">
        <v>25795.514070807316</v>
      </c>
      <c r="CP100" s="15">
        <v>-46183.593666666522</v>
      </c>
      <c r="CQ100" s="15">
        <v>471406</v>
      </c>
      <c r="CR100" s="15">
        <v>733638.84600000002</v>
      </c>
      <c r="CS100" s="15">
        <v>424634.99999999994</v>
      </c>
      <c r="CT100" s="15">
        <v>309003.84600000008</v>
      </c>
      <c r="CU100" s="15">
        <v>537420</v>
      </c>
      <c r="CV100" s="15">
        <v>361126.83828501636</v>
      </c>
      <c r="CW100" s="15">
        <v>1176631</v>
      </c>
      <c r="CX100" s="15">
        <v>330870</v>
      </c>
      <c r="CY100" s="15">
        <v>159908</v>
      </c>
      <c r="CZ100" s="15">
        <v>33695</v>
      </c>
      <c r="DA100" s="19">
        <v>0</v>
      </c>
      <c r="DB100" s="19">
        <v>0</v>
      </c>
      <c r="DC100" s="19">
        <v>5.4145139818767785E-2</v>
      </c>
      <c r="DD100" s="19">
        <v>8.9526041641256215E-2</v>
      </c>
      <c r="DE100" s="19">
        <v>0.29378283120335702</v>
      </c>
      <c r="DF100" s="19">
        <v>0.30822757196776435</v>
      </c>
      <c r="DG100" s="19">
        <v>0.25431841536885463</v>
      </c>
      <c r="DH100" s="15">
        <v>278632.48592919286</v>
      </c>
      <c r="DI100" s="15">
        <v>12194589.355349502</v>
      </c>
      <c r="DJ100" s="15">
        <v>9841149.3553494997</v>
      </c>
      <c r="DK100" s="15">
        <v>12363488.999999998</v>
      </c>
      <c r="DL100" s="18">
        <v>6.22904908429198E-2</v>
      </c>
      <c r="DM100" s="15">
        <v>7814407</v>
      </c>
      <c r="DN100" s="15">
        <v>6576268.4119360512</v>
      </c>
      <c r="DO100" s="15">
        <v>730470.9393583833</v>
      </c>
      <c r="DP100" s="15">
        <v>222635.12491062848</v>
      </c>
      <c r="DQ100" s="15">
        <v>218686.36295678894</v>
      </c>
      <c r="DR100" s="15">
        <v>66346.16083814911</v>
      </c>
      <c r="DS100" s="15">
        <v>8280985.8100000005</v>
      </c>
      <c r="DT100" s="18">
        <f t="shared" si="31"/>
        <v>0.14318426854242289</v>
      </c>
      <c r="DU100" s="18">
        <f t="shared" si="32"/>
        <v>0.22650415129827545</v>
      </c>
      <c r="DV100" s="18">
        <f t="shared" si="33"/>
        <v>5.0408225582673919E-3</v>
      </c>
      <c r="DW100" s="18">
        <f t="shared" si="34"/>
        <v>-6.0539848668996345E-2</v>
      </c>
      <c r="DX100" s="18">
        <f t="shared" si="35"/>
        <v>7.12407187558598E-2</v>
      </c>
      <c r="DY100" s="18">
        <f t="shared" si="36"/>
        <v>0.41638532359834274</v>
      </c>
      <c r="DZ100" s="18">
        <f t="shared" si="37"/>
        <v>-0.19920626342013015</v>
      </c>
      <c r="EA100" s="18">
        <f t="shared" si="38"/>
        <v>7.5958174982237586E-2</v>
      </c>
      <c r="EB100" s="18">
        <f t="shared" si="39"/>
        <v>0.32143265235372076</v>
      </c>
      <c r="EC100" s="18">
        <f t="shared" si="40"/>
        <v>0.68642061309804003</v>
      </c>
      <c r="ED100" s="18">
        <f t="shared" si="41"/>
        <v>5.4713146867207463E-2</v>
      </c>
      <c r="EE100" s="18">
        <f t="shared" si="42"/>
        <v>6.6390883549094157E-2</v>
      </c>
      <c r="EF100" s="18">
        <f t="shared" si="43"/>
        <v>1.4741230532942099E-2</v>
      </c>
      <c r="EG100" s="18">
        <f t="shared" si="44"/>
        <v>7.6128262141295353E-2</v>
      </c>
      <c r="EH100" s="18">
        <f t="shared" si="45"/>
        <v>3.4751262617391081E-2</v>
      </c>
      <c r="EI100" s="18">
        <f t="shared" si="46"/>
        <v>3.0798886889780833E-2</v>
      </c>
      <c r="EJ100" s="18">
        <f t="shared" si="47"/>
        <v>9.3108815795612934E-2</v>
      </c>
      <c r="EK100" s="18">
        <f t="shared" si="48"/>
        <v>-4.3206088507863775E-2</v>
      </c>
      <c r="EL100" s="18">
        <f t="shared" si="49"/>
        <v>-2.2000100457079716E-2</v>
      </c>
      <c r="EM100" s="6">
        <v>1.1626902485876991</v>
      </c>
      <c r="EN100" s="6">
        <v>1.1752866300576705</v>
      </c>
      <c r="EO100" s="6">
        <v>1.1662633590799947</v>
      </c>
      <c r="EP100" s="6">
        <v>1.1444095547829987</v>
      </c>
      <c r="EQ100" s="14">
        <v>220883.80606717154</v>
      </c>
      <c r="ER100" s="22">
        <v>38027.251440180742</v>
      </c>
      <c r="ES100" s="15">
        <v>304543</v>
      </c>
      <c r="ET100" s="15">
        <v>163687</v>
      </c>
      <c r="EU100" s="15">
        <v>6.55</v>
      </c>
      <c r="EV100" s="6">
        <v>102000</v>
      </c>
      <c r="EW100" s="6">
        <v>0.124</v>
      </c>
      <c r="EX100" s="16">
        <v>0.106</v>
      </c>
      <c r="EY100" s="16">
        <v>1.7999999999999999E-2</v>
      </c>
      <c r="EZ100" s="6">
        <v>2.9000000000000001E-2</v>
      </c>
      <c r="FA100" s="20">
        <v>5450</v>
      </c>
      <c r="FB100" s="20">
        <v>8000</v>
      </c>
      <c r="FC100" s="20">
        <v>10900</v>
      </c>
      <c r="FD100" s="17">
        <v>134</v>
      </c>
      <c r="FE100" s="17">
        <v>143</v>
      </c>
      <c r="FF100" s="17">
        <v>167</v>
      </c>
      <c r="FG100" s="17">
        <v>191</v>
      </c>
      <c r="FH100" s="17">
        <v>175</v>
      </c>
      <c r="FI100" s="17">
        <v>851</v>
      </c>
      <c r="FJ100" s="17">
        <v>1141</v>
      </c>
      <c r="FK100" s="17">
        <v>1431</v>
      </c>
      <c r="FL100" s="17">
        <v>1721</v>
      </c>
      <c r="FM100" s="17">
        <v>2011</v>
      </c>
      <c r="FN100" s="17">
        <v>2301</v>
      </c>
      <c r="FO100" s="17">
        <v>2591</v>
      </c>
      <c r="FP100" s="17">
        <v>2881</v>
      </c>
      <c r="FQ100" s="17">
        <v>290</v>
      </c>
      <c r="FR100" s="17">
        <v>162</v>
      </c>
      <c r="FS100" s="17">
        <v>298</v>
      </c>
      <c r="FT100" s="17">
        <v>426</v>
      </c>
      <c r="FU100" s="17">
        <v>542</v>
      </c>
      <c r="FV100" s="17">
        <v>643</v>
      </c>
      <c r="FW100" s="17">
        <v>772</v>
      </c>
      <c r="FX100" s="17">
        <v>853</v>
      </c>
      <c r="FY100" s="17">
        <v>975</v>
      </c>
      <c r="FZ100" s="17">
        <v>122</v>
      </c>
      <c r="GA100" s="17">
        <v>14</v>
      </c>
      <c r="GB100" s="17">
        <v>2000</v>
      </c>
      <c r="GC100" s="17">
        <v>3000</v>
      </c>
      <c r="GD100" s="17">
        <v>2000</v>
      </c>
      <c r="GE100" s="17">
        <v>3000</v>
      </c>
      <c r="GF100" s="17">
        <v>637</v>
      </c>
      <c r="GG100" s="17">
        <v>956</v>
      </c>
      <c r="GH100" s="17">
        <v>0.68400000000000005</v>
      </c>
      <c r="GI100" s="21">
        <v>116608.166</v>
      </c>
      <c r="GJ100" s="6">
        <v>0.39666642467811281</v>
      </c>
      <c r="GK100" s="6">
        <v>0.78119212222921253</v>
      </c>
      <c r="GL100" s="21">
        <v>1787840</v>
      </c>
      <c r="GM100" s="21">
        <v>1570000</v>
      </c>
    </row>
    <row r="101" spans="1:195" ht="15">
      <c r="A101" s="12">
        <v>2009</v>
      </c>
      <c r="B101" s="13">
        <v>0.91501403515627544</v>
      </c>
      <c r="C101" s="15">
        <f t="shared" si="27"/>
        <v>48530690.230803788</v>
      </c>
      <c r="D101" s="15">
        <v>4851834.1371062109</v>
      </c>
      <c r="E101" s="15">
        <v>2190448.8836793904</v>
      </c>
      <c r="F101" s="15">
        <v>7294709.4628937887</v>
      </c>
      <c r="G101" s="15">
        <v>2109667.2471244</v>
      </c>
      <c r="H101" s="15">
        <v>856413.99999999627</v>
      </c>
      <c r="I101" s="15">
        <v>3304906.4999999995</v>
      </c>
      <c r="J101" s="15">
        <v>1366058.2834938932</v>
      </c>
      <c r="K101" s="15">
        <v>1938847.7165061068</v>
      </c>
      <c r="L101" s="15">
        <v>1443402.5000000002</v>
      </c>
      <c r="M101" s="15">
        <v>3205855.5</v>
      </c>
      <c r="N101" s="15">
        <v>-10473409.500000002</v>
      </c>
      <c r="O101" s="15">
        <v>-1424824</v>
      </c>
      <c r="P101" s="15">
        <v>20156446</v>
      </c>
      <c r="Q101" s="15">
        <v>3694000</v>
      </c>
      <c r="R101" s="15">
        <v>12635341</v>
      </c>
      <c r="S101" s="15">
        <v>0.43355900637352673</v>
      </c>
      <c r="T101" s="15">
        <v>-3164913.9999999995</v>
      </c>
      <c r="U101" s="15">
        <v>425988.5</v>
      </c>
      <c r="V101" s="15">
        <v>57092.004999999997</v>
      </c>
      <c r="W101" s="15">
        <v>13812.714757706033</v>
      </c>
      <c r="X101" s="15">
        <v>6757.8056983923507</v>
      </c>
      <c r="Y101" s="15">
        <v>5376.9802719508107</v>
      </c>
      <c r="Z101" s="15">
        <v>5376.9802719508107</v>
      </c>
      <c r="AA101" s="15">
        <v>12204165</v>
      </c>
      <c r="AB101" s="15">
        <v>203933</v>
      </c>
      <c r="AC101" s="15">
        <v>322724.6600183862</v>
      </c>
      <c r="AD101" s="15">
        <v>145715.18438887523</v>
      </c>
      <c r="AE101" s="15">
        <v>-14846.58237617034</v>
      </c>
      <c r="AF101" s="15">
        <v>208115</v>
      </c>
      <c r="AG101" s="15">
        <v>231485.99999999997</v>
      </c>
      <c r="AH101" s="15">
        <v>3433132.2620310909</v>
      </c>
      <c r="AI101" s="15">
        <v>1048482</v>
      </c>
      <c r="AJ101" s="15">
        <v>846420.45566520351</v>
      </c>
      <c r="AK101" s="15">
        <v>202061.54433479661</v>
      </c>
      <c r="AL101" s="15">
        <f t="shared" si="28"/>
        <v>916134.30608160992</v>
      </c>
      <c r="AM101" s="15">
        <v>529260.5353301916</v>
      </c>
      <c r="AN101" s="15">
        <v>386873.77075141831</v>
      </c>
      <c r="AO101" s="15">
        <v>551688.47588242881</v>
      </c>
      <c r="AP101" s="15">
        <v>356900.49088547938</v>
      </c>
      <c r="AQ101" s="15">
        <v>230973.05539674472</v>
      </c>
      <c r="AR101" s="15">
        <f t="shared" si="25"/>
        <v>125927.43548873466</v>
      </c>
      <c r="AS101" s="15">
        <v>1168563.387168868</v>
      </c>
      <c r="AT101" s="15">
        <v>772290.04473393632</v>
      </c>
      <c r="AU101" s="15">
        <f t="shared" si="29"/>
        <v>396273.34243493166</v>
      </c>
      <c r="AV101" s="15">
        <v>-486667</v>
      </c>
      <c r="AW101" s="15">
        <v>-252838</v>
      </c>
      <c r="AX101" s="15">
        <v>8771032.7379689105</v>
      </c>
      <c r="AY101" s="15">
        <v>7759019</v>
      </c>
      <c r="AZ101" s="15">
        <v>628569.3399816138</v>
      </c>
      <c r="BA101" s="15">
        <v>178017.26383783264</v>
      </c>
      <c r="BB101" s="15">
        <f t="shared" si="26"/>
        <v>450552.07614378119</v>
      </c>
      <c r="BC101" s="15">
        <v>426944.81561112462</v>
      </c>
      <c r="BD101" s="15">
        <v>-43500.417623829657</v>
      </c>
      <c r="BE101" s="15">
        <f t="shared" si="30"/>
        <v>572659.99999999988</v>
      </c>
      <c r="BF101" s="15">
        <v>6249111</v>
      </c>
      <c r="BG101" s="15">
        <v>1509908.0000000005</v>
      </c>
      <c r="BH101" s="15">
        <v>523621.62891959178</v>
      </c>
      <c r="BI101" s="15">
        <v>88922.371080408295</v>
      </c>
      <c r="BJ101" s="15">
        <v>175432.00000000003</v>
      </c>
      <c r="BK101" s="15">
        <v>39864</v>
      </c>
      <c r="BL101" s="15">
        <v>32810.920284211592</v>
      </c>
      <c r="BM101" s="15">
        <v>5572.0097640397407</v>
      </c>
      <c r="BN101" s="15">
        <v>11221.069951748666</v>
      </c>
      <c r="BO101" s="15">
        <v>11450413.380625246</v>
      </c>
      <c r="BP101" s="15">
        <v>1412734.7730482516</v>
      </c>
      <c r="BQ101" s="15">
        <v>934156.10565983644</v>
      </c>
      <c r="BR101" s="15">
        <v>1338096.2593333335</v>
      </c>
      <c r="BS101" s="15">
        <v>255042.99999999988</v>
      </c>
      <c r="BT101" s="15">
        <v>693680</v>
      </c>
      <c r="BU101" s="15">
        <v>131211</v>
      </c>
      <c r="BV101" s="15">
        <v>47580.999999999993</v>
      </c>
      <c r="BW101" s="15">
        <v>54762</v>
      </c>
      <c r="BX101" s="15">
        <v>19449.000000000109</v>
      </c>
      <c r="BY101" s="15">
        <v>51537</v>
      </c>
      <c r="BZ101" s="15">
        <v>261681.00000000006</v>
      </c>
      <c r="CA101" s="15">
        <v>21264</v>
      </c>
      <c r="CB101" s="15">
        <v>41815</v>
      </c>
      <c r="CC101" s="15">
        <v>492951</v>
      </c>
      <c r="CD101" s="15">
        <v>369610</v>
      </c>
      <c r="CE101" s="15">
        <v>50.867976749999997</v>
      </c>
      <c r="CF101" s="15">
        <v>123118</v>
      </c>
      <c r="CG101" s="15">
        <v>985679.00000000012</v>
      </c>
      <c r="CH101" s="15">
        <v>2433429</v>
      </c>
      <c r="CI101" s="15">
        <v>777316</v>
      </c>
      <c r="CJ101" s="15">
        <v>45212.999999999956</v>
      </c>
      <c r="CK101" s="15">
        <v>185330.00000000003</v>
      </c>
      <c r="CL101" s="15">
        <v>3358050</v>
      </c>
      <c r="CM101" s="15">
        <v>3732326</v>
      </c>
      <c r="CN101" s="15">
        <v>-1257449</v>
      </c>
      <c r="CO101" s="15">
        <v>-134100.06995174865</v>
      </c>
      <c r="CP101" s="15">
        <v>-46304.416333333393</v>
      </c>
      <c r="CQ101" s="15">
        <v>458098</v>
      </c>
      <c r="CR101" s="15">
        <v>721943.84299999999</v>
      </c>
      <c r="CS101" s="15">
        <v>419518</v>
      </c>
      <c r="CT101" s="15">
        <v>302425.84299999999</v>
      </c>
      <c r="CU101" s="15">
        <v>550970</v>
      </c>
      <c r="CV101" s="15">
        <v>318494.50979075133</v>
      </c>
      <c r="CW101" s="15">
        <v>866552</v>
      </c>
      <c r="CX101" s="15">
        <v>285826</v>
      </c>
      <c r="CY101" s="15">
        <v>76810</v>
      </c>
      <c r="CZ101" s="15">
        <v>25206</v>
      </c>
      <c r="DA101" s="19">
        <v>0</v>
      </c>
      <c r="DB101" s="19">
        <v>0</v>
      </c>
      <c r="DC101" s="19">
        <v>4.5120949848973191E-2</v>
      </c>
      <c r="DD101" s="19">
        <v>7.4605034701046846E-2</v>
      </c>
      <c r="DE101" s="19">
        <v>0.27843574483948619</v>
      </c>
      <c r="DF101" s="19">
        <v>0.33003512561168935</v>
      </c>
      <c r="DG101" s="19">
        <v>0.27180314499880442</v>
      </c>
      <c r="DH101" s="15">
        <v>273481.06995174859</v>
      </c>
      <c r="DI101" s="15">
        <v>12573827.310673498</v>
      </c>
      <c r="DJ101" s="15">
        <v>10140398.310673498</v>
      </c>
      <c r="DK101" s="15">
        <v>12064048</v>
      </c>
      <c r="DL101" s="18">
        <v>9.1664882626749905E-2</v>
      </c>
      <c r="DM101" s="15">
        <v>7384699</v>
      </c>
      <c r="DN101" s="15">
        <v>6317647.179738652</v>
      </c>
      <c r="DO101" s="15">
        <v>686522.08692755667</v>
      </c>
      <c r="DP101" s="15">
        <v>166583.13877716925</v>
      </c>
      <c r="DQ101" s="15">
        <v>162079.09298793564</v>
      </c>
      <c r="DR101" s="15">
        <v>51867.501568685468</v>
      </c>
      <c r="DS101" s="15">
        <v>7615886.3089999994</v>
      </c>
      <c r="DT101" s="18">
        <f t="shared" si="31"/>
        <v>0.12971661039987534</v>
      </c>
      <c r="DU101" s="18">
        <f t="shared" si="32"/>
        <v>0.25656423872155076</v>
      </c>
      <c r="DV101" s="18">
        <f t="shared" si="33"/>
        <v>8.7777136070818374E-3</v>
      </c>
      <c r="DW101" s="18">
        <f t="shared" si="34"/>
        <v>-6.5214691671356864E-2</v>
      </c>
      <c r="DX101" s="18">
        <f t="shared" si="35"/>
        <v>6.6058312477186937E-2</v>
      </c>
      <c r="DY101" s="18">
        <f t="shared" si="36"/>
        <v>0.41533400625747002</v>
      </c>
      <c r="DZ101" s="18">
        <f t="shared" si="37"/>
        <v>-0.21581002557742804</v>
      </c>
      <c r="EA101" s="18">
        <f t="shared" si="38"/>
        <v>6.8099309617943221E-2</v>
      </c>
      <c r="EB101" s="18">
        <f t="shared" si="39"/>
        <v>0.3364745261676767</v>
      </c>
      <c r="EC101" s="18">
        <f t="shared" si="40"/>
        <v>0.67588991642858165</v>
      </c>
      <c r="ED101" s="18">
        <f t="shared" si="41"/>
        <v>5.4754818704496236E-2</v>
      </c>
      <c r="EE101" s="18">
        <f t="shared" si="42"/>
        <v>7.0160567635772303E-2</v>
      </c>
      <c r="EF101" s="18">
        <f t="shared" si="43"/>
        <v>1.6749066676027533E-2</v>
      </c>
      <c r="EG101" s="18">
        <f t="shared" si="44"/>
        <v>7.5939212615998369E-2</v>
      </c>
      <c r="EH101" s="18">
        <f t="shared" si="45"/>
        <v>3.4115536997401601E-2</v>
      </c>
      <c r="EI101" s="18">
        <f t="shared" si="46"/>
        <v>2.9583808924291362E-2</v>
      </c>
      <c r="EJ101" s="18">
        <f t="shared" si="47"/>
        <v>9.6863290594406459E-2</v>
      </c>
      <c r="EK101" s="18">
        <f t="shared" si="48"/>
        <v>-4.0340273845064278E-2</v>
      </c>
      <c r="EL101" s="18">
        <f t="shared" si="49"/>
        <v>-2.0957973642014686E-2</v>
      </c>
      <c r="EM101" s="6">
        <v>1.155075262260465</v>
      </c>
      <c r="EN101" s="6">
        <v>1.1636959266547611</v>
      </c>
      <c r="EO101" s="6">
        <v>1.1704274787099664</v>
      </c>
      <c r="EP101" s="6">
        <v>1.1476141743795052</v>
      </c>
      <c r="EQ101" s="14">
        <v>223261.82783409781</v>
      </c>
      <c r="ER101" s="22">
        <v>38930.666251390925</v>
      </c>
      <c r="ES101" s="15">
        <v>307240</v>
      </c>
      <c r="ET101" s="15">
        <v>165255</v>
      </c>
      <c r="EU101" s="15">
        <v>7.25</v>
      </c>
      <c r="EV101" s="6">
        <v>106800</v>
      </c>
      <c r="EW101" s="6">
        <v>0.124</v>
      </c>
      <c r="EX101" s="16">
        <v>0.106</v>
      </c>
      <c r="EY101" s="16">
        <v>1.7999999999999999E-2</v>
      </c>
      <c r="EZ101" s="6">
        <v>2.9000000000000001E-2</v>
      </c>
      <c r="FA101" s="20">
        <v>5700</v>
      </c>
      <c r="FB101" s="20">
        <v>8350</v>
      </c>
      <c r="FC101" s="20">
        <v>11400</v>
      </c>
      <c r="GI101" s="21">
        <v>117108.69099999999</v>
      </c>
      <c r="GJ101" s="6">
        <v>0.22972408315311713</v>
      </c>
      <c r="GK101" s="6">
        <v>0.70869541625288612</v>
      </c>
      <c r="GL101" s="21">
        <v>1261290</v>
      </c>
      <c r="GM101" s="21">
        <v>1270000</v>
      </c>
    </row>
    <row r="102" spans="1:195" ht="15">
      <c r="A102" s="12">
        <v>2010</v>
      </c>
      <c r="B102" s="13">
        <v>0.91499484526180308</v>
      </c>
      <c r="C102" s="15">
        <f t="shared" si="27"/>
        <v>50951451.034669347</v>
      </c>
      <c r="D102" s="15">
        <v>6186257.4875185424</v>
      </c>
      <c r="E102" s="15">
        <v>2393989.2906359383</v>
      </c>
      <c r="F102" s="15">
        <v>7120570.4124814617</v>
      </c>
      <c r="G102" s="15">
        <v>2040804.3440334108</v>
      </c>
      <c r="H102" s="15">
        <v>870286.9999999943</v>
      </c>
      <c r="I102" s="15">
        <v>3191553.4999999995</v>
      </c>
      <c r="J102" s="15">
        <v>1257642.2149798456</v>
      </c>
      <c r="K102" s="15">
        <v>1933911.2850201537</v>
      </c>
      <c r="L102" s="15">
        <v>1625432</v>
      </c>
      <c r="M102" s="15">
        <v>3020375.5000000005</v>
      </c>
      <c r="N102" s="15">
        <v>-10182325.499999998</v>
      </c>
      <c r="O102" s="15">
        <v>-1424073.5</v>
      </c>
      <c r="P102" s="15">
        <v>19119205</v>
      </c>
      <c r="Q102" s="15">
        <v>4334000</v>
      </c>
      <c r="R102" s="15">
        <v>14054587</v>
      </c>
      <c r="S102" s="15">
        <v>0.45808384429394372</v>
      </c>
      <c r="T102" s="15">
        <v>-3259964.5</v>
      </c>
      <c r="U102" s="15">
        <v>436679.49999999994</v>
      </c>
      <c r="V102" s="15">
        <v>27297.076799999995</v>
      </c>
      <c r="W102" s="15">
        <v>10142.094512930204</v>
      </c>
      <c r="X102" s="15">
        <v>4956.5970628822524</v>
      </c>
      <c r="Y102" s="15">
        <v>4061.8943120937738</v>
      </c>
      <c r="Z102" s="15">
        <v>4061.8943120937738</v>
      </c>
      <c r="AA102" s="15">
        <v>12933633.000000002</v>
      </c>
      <c r="AB102" s="15">
        <v>272267</v>
      </c>
      <c r="AC102" s="15">
        <v>361791.14166663022</v>
      </c>
      <c r="AD102" s="15">
        <v>165429.54560730499</v>
      </c>
      <c r="AE102" s="15">
        <v>-15236.339105508107</v>
      </c>
      <c r="AF102" s="15">
        <v>208216</v>
      </c>
      <c r="AG102" s="15">
        <v>230372</v>
      </c>
      <c r="AH102" s="15">
        <v>3849904.3481684276</v>
      </c>
      <c r="AI102" s="15">
        <v>1081636</v>
      </c>
      <c r="AJ102" s="15">
        <v>865489.60517505894</v>
      </c>
      <c r="AK102" s="15">
        <v>216146.39482494109</v>
      </c>
      <c r="AL102" s="15">
        <f t="shared" si="28"/>
        <v>1083148.4509210361</v>
      </c>
      <c r="AM102" s="15">
        <v>675100.93330568611</v>
      </c>
      <c r="AN102" s="15">
        <v>408047.51761534996</v>
      </c>
      <c r="AO102" s="15">
        <v>505174.28681009251</v>
      </c>
      <c r="AP102" s="15">
        <v>395331.46952133777</v>
      </c>
      <c r="AQ102" s="15">
        <v>236997.13344901198</v>
      </c>
      <c r="AR102" s="15">
        <f t="shared" si="25"/>
        <v>158334.33607232579</v>
      </c>
      <c r="AS102" s="15">
        <v>1310633.9344141644</v>
      </c>
      <c r="AT102" s="15">
        <v>919250.87113061512</v>
      </c>
      <c r="AU102" s="15">
        <f t="shared" si="29"/>
        <v>391383.06328354927</v>
      </c>
      <c r="AV102" s="15">
        <v>-433880</v>
      </c>
      <c r="AW102" s="15">
        <v>-242333</v>
      </c>
      <c r="AX102" s="15">
        <v>9083728.6518315729</v>
      </c>
      <c r="AY102" s="15">
        <v>7925369</v>
      </c>
      <c r="AZ102" s="15">
        <v>758421.85833336972</v>
      </c>
      <c r="BA102" s="15">
        <v>176379.21249994516</v>
      </c>
      <c r="BB102" s="15">
        <f t="shared" si="26"/>
        <v>582042.64583342453</v>
      </c>
      <c r="BC102" s="15">
        <v>440509.45439269493</v>
      </c>
      <c r="BD102" s="15">
        <v>-40571.660894491884</v>
      </c>
      <c r="BE102" s="15">
        <f t="shared" si="30"/>
        <v>605938.99999999988</v>
      </c>
      <c r="BF102" s="15">
        <v>6372512</v>
      </c>
      <c r="BG102" s="15">
        <v>1552857</v>
      </c>
      <c r="BH102" s="15">
        <v>526225.63370647933</v>
      </c>
      <c r="BI102" s="15">
        <v>89361.366293520638</v>
      </c>
      <c r="BJ102" s="15">
        <v>179468</v>
      </c>
      <c r="BK102" s="15">
        <v>49685</v>
      </c>
      <c r="BL102" s="15">
        <v>32296.570133992831</v>
      </c>
      <c r="BM102" s="15">
        <v>5484.4641707019455</v>
      </c>
      <c r="BN102" s="15">
        <v>11205.965695305225</v>
      </c>
      <c r="BO102" s="15">
        <v>12153987.00525267</v>
      </c>
      <c r="BP102" s="15">
        <v>1456558.017304695</v>
      </c>
      <c r="BQ102" s="15">
        <v>1060708.8397759688</v>
      </c>
      <c r="BR102" s="15">
        <v>1468949.8623333334</v>
      </c>
      <c r="BS102" s="15">
        <v>268671.00000000006</v>
      </c>
      <c r="BT102" s="15">
        <v>720411</v>
      </c>
      <c r="BU102" s="15">
        <v>138857</v>
      </c>
      <c r="BV102" s="15">
        <v>49157.999999999993</v>
      </c>
      <c r="BW102" s="15">
        <v>66515</v>
      </c>
      <c r="BX102" s="15">
        <v>19314.999999999971</v>
      </c>
      <c r="BY102" s="15">
        <v>57962</v>
      </c>
      <c r="BZ102" s="15">
        <v>344752</v>
      </c>
      <c r="CA102" s="15">
        <v>22421</v>
      </c>
      <c r="CB102" s="15">
        <v>43002</v>
      </c>
      <c r="CC102" s="15">
        <v>513390</v>
      </c>
      <c r="CD102" s="15">
        <v>396868</v>
      </c>
      <c r="CE102" s="15">
        <v>54.544125000000001</v>
      </c>
      <c r="CF102" s="15">
        <v>125751</v>
      </c>
      <c r="CG102" s="15">
        <v>1036009</v>
      </c>
      <c r="CH102" s="15">
        <v>2511047</v>
      </c>
      <c r="CI102" s="15">
        <v>813238</v>
      </c>
      <c r="CJ102" s="15">
        <v>45108.00000000008</v>
      </c>
      <c r="CK102" s="15">
        <v>185228.00000000006</v>
      </c>
      <c r="CL102" s="15">
        <v>3557859.9999999995</v>
      </c>
      <c r="CM102" s="15">
        <v>3949770</v>
      </c>
      <c r="CN102" s="15">
        <v>-1306895.0000000002</v>
      </c>
      <c r="CO102" s="15">
        <v>-156214.96569530512</v>
      </c>
      <c r="CP102" s="15">
        <v>-124847.87933333326</v>
      </c>
      <c r="CQ102" s="15">
        <v>469000</v>
      </c>
      <c r="CR102" s="15">
        <v>753504.98300000001</v>
      </c>
      <c r="CS102" s="15">
        <v>441577.99999999994</v>
      </c>
      <c r="CT102" s="15">
        <v>311926.98300000007</v>
      </c>
      <c r="CU102" s="15">
        <v>561198</v>
      </c>
      <c r="CV102" s="15">
        <v>302635.91015824681</v>
      </c>
      <c r="CW102" s="15">
        <v>943569</v>
      </c>
      <c r="CX102" s="15">
        <v>294051</v>
      </c>
      <c r="CY102" s="15">
        <v>144341</v>
      </c>
      <c r="CZ102" s="15">
        <v>19699</v>
      </c>
      <c r="DA102" s="19">
        <v>0</v>
      </c>
      <c r="DB102" s="19">
        <v>0</v>
      </c>
      <c r="DC102" s="19">
        <v>3.6096759879178597E-2</v>
      </c>
      <c r="DD102" s="19">
        <v>5.9684027760837477E-2</v>
      </c>
      <c r="DE102" s="19">
        <v>0.26308865847561524</v>
      </c>
      <c r="DF102" s="19">
        <v>0.35184267925561447</v>
      </c>
      <c r="DG102" s="19">
        <v>0.28928787462875422</v>
      </c>
      <c r="DH102" s="15">
        <v>280693.96569530509</v>
      </c>
      <c r="DI102" s="15">
        <v>13304758.039557366</v>
      </c>
      <c r="DJ102" s="15">
        <v>10793711.039557366</v>
      </c>
      <c r="DK102" s="15">
        <v>12793513.000000002</v>
      </c>
      <c r="DL102" s="18">
        <v>7.8219694453280503E-2</v>
      </c>
      <c r="DM102" s="15">
        <v>7673618</v>
      </c>
      <c r="DN102" s="15">
        <v>6544578.6671043448</v>
      </c>
      <c r="DO102" s="15">
        <v>750725.98967671487</v>
      </c>
      <c r="DP102" s="15">
        <v>138152.84744268339</v>
      </c>
      <c r="DQ102" s="15">
        <v>181621.99639872686</v>
      </c>
      <c r="DR102" s="15">
        <v>58538.499377530585</v>
      </c>
      <c r="DS102" s="15">
        <v>8037426.6230000006</v>
      </c>
      <c r="DT102" s="18">
        <f t="shared" si="31"/>
        <v>0.15331633013166132</v>
      </c>
      <c r="DU102" s="18">
        <f t="shared" si="32"/>
        <v>0.24387236859448636</v>
      </c>
      <c r="DV102" s="18">
        <f t="shared" si="33"/>
        <v>8.5705017449427736E-3</v>
      </c>
      <c r="DW102" s="18">
        <f t="shared" si="34"/>
        <v>-6.3981779395876154E-2</v>
      </c>
      <c r="DX102" s="18">
        <f t="shared" si="35"/>
        <v>5.9279479556820072E-2</v>
      </c>
      <c r="DY102" s="18">
        <f t="shared" si="36"/>
        <v>0.3752435821109501</v>
      </c>
      <c r="DZ102" s="18">
        <f t="shared" si="37"/>
        <v>-0.19984368046891438</v>
      </c>
      <c r="EA102" s="18">
        <f t="shared" si="38"/>
        <v>6.2639109096781997E-2</v>
      </c>
      <c r="EB102" s="18">
        <f t="shared" si="39"/>
        <v>0.36090408862914797</v>
      </c>
      <c r="EC102" s="18">
        <f t="shared" si="40"/>
        <v>0.65090842486189027</v>
      </c>
      <c r="ED102" s="18">
        <f t="shared" si="41"/>
        <v>6.2288983287541733E-2</v>
      </c>
      <c r="EE102" s="18">
        <f t="shared" si="42"/>
        <v>6.7650660547658711E-2</v>
      </c>
      <c r="EF102" s="18">
        <f t="shared" si="43"/>
        <v>1.6894999428612067E-2</v>
      </c>
      <c r="EG102" s="18">
        <f t="shared" si="44"/>
        <v>8.4663880118075144E-2</v>
      </c>
      <c r="EH102" s="18">
        <f t="shared" si="45"/>
        <v>2.8534327264926565E-2</v>
      </c>
      <c r="EI102" s="18">
        <f t="shared" si="46"/>
        <v>3.0900931551899602E-2</v>
      </c>
      <c r="EJ102" s="18">
        <f t="shared" si="47"/>
        <v>0.10244519503080696</v>
      </c>
      <c r="EK102" s="18">
        <f t="shared" si="48"/>
        <v>-3.3914062540914287E-2</v>
      </c>
      <c r="EL102" s="18">
        <f t="shared" si="49"/>
        <v>-1.8941865303142302E-2</v>
      </c>
      <c r="EM102" s="6">
        <v>1.1414001651453951</v>
      </c>
      <c r="EN102" s="6">
        <v>1.1465587770517893</v>
      </c>
      <c r="EO102" s="6">
        <v>1.1515390541879151</v>
      </c>
      <c r="EP102" s="6">
        <v>1.1274167532094483</v>
      </c>
      <c r="EQ102" s="14">
        <v>225725.87140830141</v>
      </c>
      <c r="ER102" s="22">
        <v>39798.081091235748</v>
      </c>
      <c r="ES102" s="15">
        <v>309839</v>
      </c>
      <c r="ET102" s="15">
        <v>167901</v>
      </c>
      <c r="EU102" s="15">
        <v>7.25</v>
      </c>
      <c r="EV102" s="6">
        <v>106800</v>
      </c>
      <c r="EW102" s="6">
        <v>0.124</v>
      </c>
      <c r="EX102" s="16">
        <v>0.106</v>
      </c>
      <c r="EY102" s="16">
        <v>1.7999999999999999E-2</v>
      </c>
      <c r="EZ102" s="6">
        <v>2.9000000000000001E-2</v>
      </c>
      <c r="FA102" s="20">
        <v>5700</v>
      </c>
      <c r="FB102" s="20">
        <v>8400</v>
      </c>
      <c r="FC102" s="20">
        <v>11400</v>
      </c>
      <c r="GI102" s="21">
        <v>117609.216</v>
      </c>
      <c r="GJ102" s="6">
        <v>0.15620369934251144</v>
      </c>
      <c r="GK102" s="6">
        <v>0.71928632654168834</v>
      </c>
      <c r="GL102" s="21">
        <v>1370000</v>
      </c>
      <c r="GM102" s="21">
        <v>1370000</v>
      </c>
    </row>
    <row r="103" spans="1:195" ht="15">
      <c r="A103" s="12">
        <v>2011</v>
      </c>
      <c r="B103" s="13">
        <v>0.91793113464294962</v>
      </c>
      <c r="C103" s="15">
        <f t="shared" si="27"/>
        <v>53049583.957564309</v>
      </c>
      <c r="D103" s="15">
        <v>6443903.9275215836</v>
      </c>
      <c r="E103" s="15">
        <v>2495702.2273677764</v>
      </c>
      <c r="F103" s="15">
        <v>7533693.1724784141</v>
      </c>
      <c r="G103" s="15">
        <v>2052509.130196519</v>
      </c>
      <c r="H103" s="15">
        <v>894934.50000000687</v>
      </c>
      <c r="I103" s="15">
        <v>3617605.4999999995</v>
      </c>
      <c r="J103" s="15">
        <v>1355281.3663010269</v>
      </c>
      <c r="K103" s="15">
        <v>2262324.6336989729</v>
      </c>
      <c r="L103" s="15">
        <v>1733473</v>
      </c>
      <c r="M103" s="15">
        <v>3106588</v>
      </c>
      <c r="N103" s="15">
        <v>-9856418.5</v>
      </c>
      <c r="O103" s="15">
        <v>-1426069</v>
      </c>
      <c r="P103" s="15">
        <v>18473555.500000004</v>
      </c>
      <c r="Q103" s="15">
        <v>4640500</v>
      </c>
      <c r="R103" s="15">
        <v>14762866.5</v>
      </c>
      <c r="S103" s="15">
        <v>0.45443159196807481</v>
      </c>
      <c r="T103" s="15">
        <v>-3417611</v>
      </c>
      <c r="U103" s="15">
        <v>568282</v>
      </c>
      <c r="V103" s="15">
        <v>30883.765699999996</v>
      </c>
      <c r="W103" s="15">
        <v>13426.642720980049</v>
      </c>
      <c r="X103" s="15">
        <v>5591.4113887040303</v>
      </c>
      <c r="Y103" s="15">
        <v>6059.7075951579627</v>
      </c>
      <c r="Z103" s="15">
        <v>6059.7075951579627</v>
      </c>
      <c r="AA103" s="15">
        <v>13576114.000000002</v>
      </c>
      <c r="AB103" s="15">
        <v>280763</v>
      </c>
      <c r="AC103" s="15">
        <v>411265.91437813936</v>
      </c>
      <c r="AD103" s="15">
        <v>179993.11628609875</v>
      </c>
      <c r="AE103" s="15">
        <v>-16703.33357885346</v>
      </c>
      <c r="AF103" s="15">
        <v>210154</v>
      </c>
      <c r="AG103" s="15">
        <v>229088.00000000003</v>
      </c>
      <c r="AH103" s="15">
        <v>4095913.6970853852</v>
      </c>
      <c r="AI103" s="15">
        <v>1110483</v>
      </c>
      <c r="AJ103" s="15">
        <v>876743.91027280048</v>
      </c>
      <c r="AK103" s="15">
        <v>233739.08972719969</v>
      </c>
      <c r="AL103" s="15">
        <f t="shared" si="28"/>
        <v>1133798.1415254408</v>
      </c>
      <c r="AM103" s="15">
        <v>706891.94295900268</v>
      </c>
      <c r="AN103" s="15">
        <v>426906.19856643822</v>
      </c>
      <c r="AO103" s="15">
        <v>505966.60565103823</v>
      </c>
      <c r="AP103" s="15">
        <v>444208.98701714282</v>
      </c>
      <c r="AQ103" s="15">
        <v>274896.62986005464</v>
      </c>
      <c r="AR103" s="15">
        <f t="shared" si="25"/>
        <v>169312.35715708818</v>
      </c>
      <c r="AS103" s="15">
        <v>1362700.1801845178</v>
      </c>
      <c r="AT103" s="15">
        <v>967274.14090032433</v>
      </c>
      <c r="AU103" s="15">
        <f t="shared" si="29"/>
        <v>395426.03928419342</v>
      </c>
      <c r="AV103" s="15">
        <v>-394588</v>
      </c>
      <c r="AW103" s="15">
        <v>-229945.00000000003</v>
      </c>
      <c r="AX103" s="15">
        <v>9480200.3029146139</v>
      </c>
      <c r="AY103" s="15">
        <v>8226174.9999999991</v>
      </c>
      <c r="AZ103" s="15">
        <v>830684.08562186069</v>
      </c>
      <c r="BA103" s="15">
        <v>203151.57422657579</v>
      </c>
      <c r="BB103" s="15">
        <f t="shared" si="26"/>
        <v>627532.51139528491</v>
      </c>
      <c r="BC103" s="15">
        <v>466645.88371390093</v>
      </c>
      <c r="BD103" s="15">
        <v>-43304.666421146532</v>
      </c>
      <c r="BE103" s="15">
        <f t="shared" si="30"/>
        <v>646638.99999999965</v>
      </c>
      <c r="BF103" s="15">
        <v>6626183</v>
      </c>
      <c r="BG103" s="15">
        <v>1599991.9999999993</v>
      </c>
      <c r="BH103" s="15">
        <v>456219.72693808033</v>
      </c>
      <c r="BI103" s="15">
        <v>77445.273061919666</v>
      </c>
      <c r="BJ103" s="15">
        <v>186731</v>
      </c>
      <c r="BK103" s="15">
        <v>57328</v>
      </c>
      <c r="BL103" s="15">
        <v>27500.990258911843</v>
      </c>
      <c r="BM103" s="15">
        <v>4668.4121144189085</v>
      </c>
      <c r="BN103" s="15">
        <v>14262.597626669254</v>
      </c>
      <c r="BO103" s="15">
        <v>12867238.180262091</v>
      </c>
      <c r="BP103" s="15">
        <v>1386951.6043733307</v>
      </c>
      <c r="BQ103" s="15">
        <v>1104697.0213645787</v>
      </c>
      <c r="BR103" s="15">
        <v>1541162.8060000001</v>
      </c>
      <c r="BS103" s="15">
        <v>241609.99999999991</v>
      </c>
      <c r="BT103" s="15">
        <v>744027</v>
      </c>
      <c r="BU103" s="15">
        <v>107163</v>
      </c>
      <c r="BV103" s="15">
        <v>50484</v>
      </c>
      <c r="BW103" s="15">
        <v>72728</v>
      </c>
      <c r="BX103" s="15">
        <v>18920.000000000029</v>
      </c>
      <c r="BY103" s="15">
        <v>63267</v>
      </c>
      <c r="BZ103" s="15">
        <v>356806.00000000006</v>
      </c>
      <c r="CA103" s="15">
        <v>20795</v>
      </c>
      <c r="CB103" s="15">
        <v>42459</v>
      </c>
      <c r="CC103" s="15">
        <v>535609</v>
      </c>
      <c r="CD103" s="15">
        <v>406022</v>
      </c>
      <c r="CE103" s="15">
        <v>56.316499025858228</v>
      </c>
      <c r="CF103" s="15">
        <v>114395</v>
      </c>
      <c r="CG103" s="15">
        <v>1056026</v>
      </c>
      <c r="CH103" s="15">
        <v>2511311</v>
      </c>
      <c r="CI103" s="15">
        <v>821745</v>
      </c>
      <c r="CJ103" s="15">
        <v>47394.999999999935</v>
      </c>
      <c r="CK103" s="15">
        <v>237290.99999999994</v>
      </c>
      <c r="CL103" s="15">
        <v>3751707.0000000005</v>
      </c>
      <c r="CM103" s="15">
        <v>3987410.0000000005</v>
      </c>
      <c r="CN103" s="15">
        <v>-1146799</v>
      </c>
      <c r="CO103" s="15">
        <v>-228027.59762666939</v>
      </c>
      <c r="CP103" s="15">
        <v>-167793.60399999996</v>
      </c>
      <c r="CQ103" s="15">
        <v>492742</v>
      </c>
      <c r="CR103" s="15">
        <v>763789.20200000005</v>
      </c>
      <c r="CS103" s="15">
        <v>438250</v>
      </c>
      <c r="CT103" s="15">
        <v>325539.20199999999</v>
      </c>
      <c r="CU103" s="15">
        <v>584284</v>
      </c>
      <c r="CV103" s="15">
        <v>329130.3845352073</v>
      </c>
      <c r="CW103" s="15">
        <v>1130762</v>
      </c>
      <c r="CX103" s="15">
        <v>322929</v>
      </c>
      <c r="CY103" s="15">
        <v>151420</v>
      </c>
      <c r="CZ103" s="15">
        <v>14721</v>
      </c>
      <c r="DA103" s="19">
        <v>0</v>
      </c>
      <c r="DB103" s="19">
        <v>0</v>
      </c>
      <c r="DC103" s="19">
        <v>2.7072569909383892E-2</v>
      </c>
      <c r="DD103" s="19">
        <v>4.4763020820628219E-2</v>
      </c>
      <c r="DE103" s="19">
        <v>0.24774157211174441</v>
      </c>
      <c r="DF103" s="19">
        <v>0.37365023289953947</v>
      </c>
      <c r="DG103" s="19">
        <v>0.30677260425870401</v>
      </c>
      <c r="DH103" s="15">
        <v>293488.59762666927</v>
      </c>
      <c r="DI103" s="15">
        <v>13786111.582635423</v>
      </c>
      <c r="DJ103" s="15">
        <v>11274800.582635423</v>
      </c>
      <c r="DK103" s="15">
        <v>13386218.000000002</v>
      </c>
      <c r="DL103" s="18">
        <v>8.5604578568659481E-2</v>
      </c>
      <c r="DM103" s="15">
        <v>7969228</v>
      </c>
      <c r="DN103" s="15">
        <v>6791502.2894078484</v>
      </c>
      <c r="DO103" s="15">
        <v>802332.2456608389</v>
      </c>
      <c r="DP103" s="15">
        <v>118641.34197015877</v>
      </c>
      <c r="DQ103" s="15">
        <v>192227.51600830883</v>
      </c>
      <c r="DR103" s="15">
        <v>64524.606952845192</v>
      </c>
      <c r="DS103" s="15">
        <v>8344487.5559999999</v>
      </c>
      <c r="DT103" s="18">
        <f t="shared" si="31"/>
        <v>0.15414592005213221</v>
      </c>
      <c r="DU103" s="18">
        <f t="shared" si="32"/>
        <v>0.24461716873073341</v>
      </c>
      <c r="DV103" s="18">
        <f t="shared" si="33"/>
        <v>1.0712280052084537E-2</v>
      </c>
      <c r="DW103" s="18">
        <f t="shared" si="34"/>
        <v>-6.4422955752750727E-2</v>
      </c>
      <c r="DX103" s="18">
        <f t="shared" si="35"/>
        <v>5.8560082252200836E-2</v>
      </c>
      <c r="DY103" s="18">
        <f t="shared" si="36"/>
        <v>0.3482318638875182</v>
      </c>
      <c r="DZ103" s="18">
        <f t="shared" si="37"/>
        <v>-0.18579633928673966</v>
      </c>
      <c r="EA103" s="18">
        <f t="shared" si="38"/>
        <v>6.8192909917895173E-2</v>
      </c>
      <c r="EB103" s="18">
        <f t="shared" si="39"/>
        <v>0.36575907014692594</v>
      </c>
      <c r="EC103" s="18">
        <f t="shared" si="40"/>
        <v>0.64618854194327668</v>
      </c>
      <c r="ED103" s="18">
        <f t="shared" si="41"/>
        <v>6.5252506554197329E-2</v>
      </c>
      <c r="EE103" s="18">
        <f t="shared" si="42"/>
        <v>6.549601315866814E-2</v>
      </c>
      <c r="EF103" s="18">
        <f t="shared" si="43"/>
        <v>1.7461174599666587E-2</v>
      </c>
      <c r="EG103" s="18">
        <f t="shared" si="44"/>
        <v>8.4698915072609807E-2</v>
      </c>
      <c r="EH103" s="18">
        <f t="shared" si="45"/>
        <v>2.3611643382099274E-2</v>
      </c>
      <c r="EI103" s="18">
        <f t="shared" si="46"/>
        <v>3.3184054451910375E-2</v>
      </c>
      <c r="EJ103" s="18">
        <f t="shared" si="47"/>
        <v>0.10179874406531535</v>
      </c>
      <c r="EK103" s="18">
        <f t="shared" si="48"/>
        <v>-2.9477183174515757E-2</v>
      </c>
      <c r="EL103" s="18">
        <f t="shared" si="49"/>
        <v>-1.7177742062769334E-2</v>
      </c>
      <c r="EM103" s="6">
        <v>1.1183390549493801</v>
      </c>
      <c r="EN103" s="6">
        <v>1.1222958444863749</v>
      </c>
      <c r="EO103" s="6">
        <v>1.1163026420496225</v>
      </c>
      <c r="EP103" s="6">
        <v>1.0995970001293047</v>
      </c>
      <c r="EQ103" s="14">
        <v>227663.05499999999</v>
      </c>
      <c r="ER103" s="22">
        <v>40805.496726839112</v>
      </c>
      <c r="ES103" s="15">
        <v>312295</v>
      </c>
      <c r="ET103" s="15">
        <v>169794</v>
      </c>
      <c r="EU103" s="15">
        <v>7.25</v>
      </c>
      <c r="EV103" s="6">
        <v>106800</v>
      </c>
      <c r="EW103" s="6">
        <v>0.124</v>
      </c>
      <c r="EX103" s="16">
        <v>0.106</v>
      </c>
      <c r="EY103" s="16">
        <v>1.7999999999999999E-2</v>
      </c>
      <c r="EZ103" s="6">
        <v>2.9000000000000001E-2</v>
      </c>
      <c r="FA103" s="20">
        <v>5800</v>
      </c>
      <c r="FB103" s="20">
        <v>8500</v>
      </c>
      <c r="FC103" s="20">
        <v>11600</v>
      </c>
      <c r="GI103" s="21">
        <v>119249.50066666667</v>
      </c>
      <c r="GJ103" s="6">
        <v>0.22070591360505409</v>
      </c>
      <c r="GK103" s="6">
        <v>0.7619331860073203</v>
      </c>
      <c r="GL103" s="21">
        <v>1528733</v>
      </c>
      <c r="GM103" s="21">
        <v>1500000</v>
      </c>
    </row>
    <row r="104" spans="1:195" ht="15">
      <c r="A104" s="12">
        <v>2012</v>
      </c>
      <c r="B104" s="13">
        <v>0.90196395964675347</v>
      </c>
      <c r="C104" s="15">
        <f t="shared" si="27"/>
        <v>55698008.26728794</v>
      </c>
      <c r="D104" s="15">
        <v>6598847.2633754704</v>
      </c>
      <c r="E104" s="15">
        <v>2591343.2017719918</v>
      </c>
      <c r="F104" s="15">
        <v>7939174.3366245292</v>
      </c>
      <c r="G104" s="15">
        <v>2191241.465515933</v>
      </c>
      <c r="H104" s="15">
        <v>923052.00000001246</v>
      </c>
      <c r="I104" s="15">
        <v>3961710</v>
      </c>
      <c r="J104" s="15">
        <v>1484249.5673208714</v>
      </c>
      <c r="K104" s="15">
        <v>2477460.4326791279</v>
      </c>
      <c r="L104" s="15">
        <v>1910521.0000000002</v>
      </c>
      <c r="M104" s="15">
        <v>3209458.0000000005</v>
      </c>
      <c r="N104" s="15">
        <v>-9630966.5</v>
      </c>
      <c r="O104" s="15">
        <v>-1440329</v>
      </c>
      <c r="P104" s="15">
        <v>18329922.5</v>
      </c>
      <c r="Q104" s="15">
        <v>4995000</v>
      </c>
      <c r="R104" s="15">
        <v>15456588</v>
      </c>
      <c r="S104" s="15">
        <v>0.44864703843435699</v>
      </c>
      <c r="T104" s="15">
        <v>-3538101</v>
      </c>
      <c r="U104" s="15">
        <v>760218.00000000012</v>
      </c>
      <c r="V104" s="15">
        <v>40432.800000000003</v>
      </c>
      <c r="W104" s="15">
        <v>14711.477422215905</v>
      </c>
      <c r="X104" s="15">
        <v>5483.8677053879856</v>
      </c>
      <c r="Y104" s="15">
        <v>6431.2969361980504</v>
      </c>
      <c r="Z104" s="15">
        <v>6431.2969361980504</v>
      </c>
      <c r="AA104" s="15">
        <v>14230064</v>
      </c>
      <c r="AB104" s="15">
        <v>334589</v>
      </c>
      <c r="AC104" s="15">
        <v>447200.62700878253</v>
      </c>
      <c r="AD104" s="15">
        <v>192346.22212304923</v>
      </c>
      <c r="AE104" s="15">
        <v>-16460.766022318014</v>
      </c>
      <c r="AF104" s="15">
        <v>211485</v>
      </c>
      <c r="AG104" s="15">
        <v>232813</v>
      </c>
      <c r="AH104" s="15">
        <v>4354291.0831095139</v>
      </c>
      <c r="AI104" s="15">
        <v>1128190</v>
      </c>
      <c r="AJ104" s="15">
        <v>876082.07726585981</v>
      </c>
      <c r="AK104" s="15">
        <v>252107.92273414021</v>
      </c>
      <c r="AL104" s="15">
        <f t="shared" si="28"/>
        <v>1224912.3090235977</v>
      </c>
      <c r="AM104" s="15">
        <v>717194.73737300735</v>
      </c>
      <c r="AN104" s="15">
        <v>507717.57165059046</v>
      </c>
      <c r="AO104" s="15">
        <v>527226.97182678629</v>
      </c>
      <c r="AP104" s="15">
        <v>480481.18917735439</v>
      </c>
      <c r="AQ104" s="15">
        <v>308550.79470816586</v>
      </c>
      <c r="AR104" s="15">
        <f t="shared" si="25"/>
        <v>171930.39446918853</v>
      </c>
      <c r="AS104" s="15">
        <v>1409948.1569810435</v>
      </c>
      <c r="AT104" s="15">
        <v>997242.68263585551</v>
      </c>
      <c r="AU104" s="15">
        <f t="shared" si="29"/>
        <v>412705.47434518801</v>
      </c>
      <c r="AV104" s="15">
        <v>-362748</v>
      </c>
      <c r="AW104" s="15">
        <v>-229605</v>
      </c>
      <c r="AX104" s="15">
        <v>9875772.9168904852</v>
      </c>
      <c r="AY104" s="15">
        <v>8567363</v>
      </c>
      <c r="AZ104" s="15">
        <v>864162.37299121742</v>
      </c>
      <c r="BA104" s="15">
        <v>226077.2436814094</v>
      </c>
      <c r="BB104" s="15">
        <f t="shared" si="26"/>
        <v>638085.12930980802</v>
      </c>
      <c r="BC104" s="15">
        <v>485823.77787695086</v>
      </c>
      <c r="BD104" s="15">
        <v>-41576.233977681986</v>
      </c>
      <c r="BE104" s="15">
        <f t="shared" si="30"/>
        <v>678170.00000000012</v>
      </c>
      <c r="BF104" s="15">
        <v>6928124</v>
      </c>
      <c r="BG104" s="15">
        <v>1639238.9999999995</v>
      </c>
      <c r="BH104" s="15">
        <v>474193.20597175951</v>
      </c>
      <c r="BI104" s="15">
        <v>80568.794028240489</v>
      </c>
      <c r="BJ104" s="15">
        <v>195013</v>
      </c>
      <c r="BK104" s="15">
        <v>60094</v>
      </c>
      <c r="BL104" s="15">
        <v>27699.515996018803</v>
      </c>
      <c r="BM104" s="15">
        <v>4706.3445255225806</v>
      </c>
      <c r="BN104" s="15">
        <v>14441.139478458615</v>
      </c>
      <c r="BO104" s="15">
        <v>13511446.252433209</v>
      </c>
      <c r="BP104" s="15">
        <v>1428761.0395215414</v>
      </c>
      <c r="BQ104" s="15">
        <v>1146861.5047119169</v>
      </c>
      <c r="BR104" s="15">
        <v>1630987.7966666669</v>
      </c>
      <c r="BS104" s="15">
        <v>226017.00000000006</v>
      </c>
      <c r="BT104" s="15">
        <v>794137</v>
      </c>
      <c r="BU104" s="15">
        <v>83615</v>
      </c>
      <c r="BV104" s="15">
        <v>53038</v>
      </c>
      <c r="BW104" s="15">
        <v>74851</v>
      </c>
      <c r="BX104" s="15">
        <v>18446.999999999989</v>
      </c>
      <c r="BY104" s="15">
        <v>70113</v>
      </c>
      <c r="BZ104" s="15">
        <v>305786</v>
      </c>
      <c r="CA104" s="15">
        <v>19832</v>
      </c>
      <c r="CB104" s="15">
        <v>40935</v>
      </c>
      <c r="CC104" s="15">
        <v>554746</v>
      </c>
      <c r="CD104" s="15">
        <v>417539</v>
      </c>
      <c r="CE104" s="15">
        <v>58.932526170628854</v>
      </c>
      <c r="CF104" s="15">
        <v>114695</v>
      </c>
      <c r="CG104" s="15">
        <v>1086980</v>
      </c>
      <c r="CH104" s="15">
        <v>2515439</v>
      </c>
      <c r="CI104" s="15">
        <v>828477</v>
      </c>
      <c r="CJ104" s="15">
        <v>54391.000000000029</v>
      </c>
      <c r="CK104" s="15">
        <v>221112.00000000009</v>
      </c>
      <c r="CL104" s="15">
        <v>3936335</v>
      </c>
      <c r="CM104" s="15">
        <v>3978317.9999999995</v>
      </c>
      <c r="CN104" s="15">
        <v>-977677.99999999988</v>
      </c>
      <c r="CO104" s="15">
        <v>-230490.13947845862</v>
      </c>
      <c r="CP104" s="15">
        <v>-197753.61766666663</v>
      </c>
      <c r="CQ104" s="15">
        <v>513293</v>
      </c>
      <c r="CR104" s="15">
        <v>781499.179</v>
      </c>
      <c r="CS104" s="15">
        <v>439657</v>
      </c>
      <c r="CT104" s="15">
        <v>341842.17900000012</v>
      </c>
      <c r="CU104" s="15">
        <v>597239</v>
      </c>
      <c r="CV104" s="15">
        <v>392867.22099999909</v>
      </c>
      <c r="CW104" s="15">
        <v>1166385</v>
      </c>
      <c r="CX104" s="15">
        <v>343129</v>
      </c>
      <c r="CY104" s="15">
        <v>98683</v>
      </c>
      <c r="CZ104" s="15">
        <v>19238</v>
      </c>
      <c r="DA104" s="19">
        <v>0</v>
      </c>
      <c r="DB104" s="19">
        <v>0</v>
      </c>
      <c r="DC104" s="19">
        <v>1.8048379939589188E-2</v>
      </c>
      <c r="DD104" s="19">
        <v>2.9842013880418738E-2</v>
      </c>
      <c r="DE104" s="19">
        <v>0.23239448574787369</v>
      </c>
      <c r="DF104" s="19">
        <v>0.39545778654346447</v>
      </c>
      <c r="DG104" s="19">
        <v>0.3242573338886538</v>
      </c>
      <c r="DH104" s="15">
        <v>303264.13947845873</v>
      </c>
      <c r="DI104" s="15">
        <v>14258728.112954751</v>
      </c>
      <c r="DJ104" s="15">
        <v>11743289.112954751</v>
      </c>
      <c r="DK104" s="15">
        <v>14063343</v>
      </c>
      <c r="DL104" s="18">
        <v>9.6647306923911144E-2</v>
      </c>
      <c r="DM104" s="15">
        <v>8499523.568375865</v>
      </c>
      <c r="DN104" s="15">
        <v>7083800.9056811072</v>
      </c>
      <c r="DO104" s="15">
        <v>968317.23272243561</v>
      </c>
      <c r="DP104" s="15">
        <v>112529.5955171878</v>
      </c>
      <c r="DQ104" s="15">
        <v>257634.62251988234</v>
      </c>
      <c r="DR104" s="15">
        <v>77241.211935252155</v>
      </c>
      <c r="DS104" s="15">
        <v>9128966.7183758654</v>
      </c>
      <c r="DT104" s="18">
        <f t="shared" si="31"/>
        <v>0.15277688606996595</v>
      </c>
      <c r="DU104" s="18">
        <f t="shared" si="32"/>
        <v>0.24497843690267493</v>
      </c>
      <c r="DV104" s="18">
        <f t="shared" si="33"/>
        <v>1.3648926122309559E-2</v>
      </c>
      <c r="DW104" s="18">
        <f t="shared" si="34"/>
        <v>-6.3522935739839845E-2</v>
      </c>
      <c r="DX104" s="18">
        <f t="shared" si="35"/>
        <v>5.7622491357288821E-2</v>
      </c>
      <c r="DY104" s="18">
        <f t="shared" si="36"/>
        <v>0.32909475706989272</v>
      </c>
      <c r="DZ104" s="18">
        <f t="shared" si="37"/>
        <v>-0.17291401972189324</v>
      </c>
      <c r="EA104" s="18">
        <f t="shared" si="38"/>
        <v>7.1128396207423394E-2</v>
      </c>
      <c r="EB104" s="18">
        <f t="shared" si="39"/>
        <v>0.36718706173217769</v>
      </c>
      <c r="EC104" s="18">
        <f t="shared" si="40"/>
        <v>0.64057836269196455</v>
      </c>
      <c r="ED104" s="18">
        <f t="shared" si="41"/>
        <v>6.4613080826704417E-2</v>
      </c>
      <c r="EE104" s="18">
        <f t="shared" si="42"/>
        <v>6.2295435535196703E-2</v>
      </c>
      <c r="EF104" s="18">
        <f t="shared" si="43"/>
        <v>1.7926599865632248E-2</v>
      </c>
      <c r="EG104" s="18">
        <f t="shared" si="44"/>
        <v>8.709965397442114E-2</v>
      </c>
      <c r="EH104" s="18">
        <f t="shared" si="45"/>
        <v>2.5634443519352842E-2</v>
      </c>
      <c r="EI104" s="18">
        <f t="shared" si="46"/>
        <v>3.4165503122362467E-2</v>
      </c>
      <c r="EJ104" s="18">
        <f t="shared" si="47"/>
        <v>0.10025696998082487</v>
      </c>
      <c r="EK104" s="18">
        <f t="shared" si="48"/>
        <v>-2.5793867076981624E-2</v>
      </c>
      <c r="EL104" s="18">
        <f t="shared" si="49"/>
        <v>-1.6326487948135803E-2</v>
      </c>
      <c r="EM104" s="6">
        <v>1.0978148879539795</v>
      </c>
      <c r="EN104" s="6">
        <v>1.1009782503416881</v>
      </c>
      <c r="EO104" s="6">
        <v>1.0936696952010942</v>
      </c>
      <c r="EP104" s="6">
        <v>1.0794740516639514</v>
      </c>
      <c r="EQ104" s="14">
        <v>231008.15</v>
      </c>
      <c r="ER104" s="22">
        <v>42099.529647814546</v>
      </c>
      <c r="ES104" s="15">
        <v>314725</v>
      </c>
      <c r="ET104" s="15">
        <v>172102</v>
      </c>
      <c r="EU104" s="15">
        <v>7.25</v>
      </c>
      <c r="EV104" s="6">
        <v>110100</v>
      </c>
      <c r="EW104" s="6">
        <v>0.124</v>
      </c>
      <c r="EX104" s="16">
        <v>0.106</v>
      </c>
      <c r="EY104" s="16">
        <v>1.7999999999999999E-2</v>
      </c>
      <c r="EZ104" s="6">
        <v>2.9000000000000001E-2</v>
      </c>
      <c r="FA104" s="20">
        <v>5950</v>
      </c>
      <c r="FB104" s="20">
        <v>8700</v>
      </c>
      <c r="FC104" s="20">
        <v>11900</v>
      </c>
      <c r="GI104" s="21">
        <v>120889.78533333335</v>
      </c>
      <c r="GJ104" s="6">
        <v>0.26620018234650178</v>
      </c>
      <c r="GK104" s="6">
        <v>0.7439076783813352</v>
      </c>
      <c r="GL104" s="21">
        <v>1757533</v>
      </c>
      <c r="GM104" s="21">
        <v>1700000</v>
      </c>
    </row>
    <row r="105" spans="1:195" ht="15">
      <c r="A105" s="12">
        <v>2013</v>
      </c>
      <c r="B105" s="13">
        <v>0.90400495711603823</v>
      </c>
      <c r="C105" s="15">
        <f t="shared" si="27"/>
        <v>61829336.390009306</v>
      </c>
      <c r="D105" s="15">
        <v>8332673.8628548244</v>
      </c>
      <c r="E105" s="15">
        <v>2491687.1599996835</v>
      </c>
      <c r="F105" s="15">
        <v>7650313.3871451756</v>
      </c>
      <c r="G105" s="15">
        <v>2302575.4800096224</v>
      </c>
      <c r="H105" s="15">
        <v>945962.50000000058</v>
      </c>
      <c r="I105" s="15">
        <v>4455148</v>
      </c>
      <c r="J105" s="15">
        <v>1656447.77709679</v>
      </c>
      <c r="K105" s="15">
        <v>2798700.2229032107</v>
      </c>
      <c r="L105" s="15">
        <v>2296616</v>
      </c>
      <c r="M105" s="15">
        <v>3465324</v>
      </c>
      <c r="N105" s="15">
        <v>-9451019</v>
      </c>
      <c r="O105" s="15">
        <v>-1492698.5</v>
      </c>
      <c r="P105" s="15">
        <v>19410831.5</v>
      </c>
      <c r="Q105" s="15">
        <v>5783000</v>
      </c>
      <c r="R105" s="15">
        <v>17022553</v>
      </c>
      <c r="S105" s="15">
        <v>0.47541356239145888</v>
      </c>
      <c r="T105" s="15">
        <v>-3777175</v>
      </c>
      <c r="U105" s="15">
        <v>900845.5</v>
      </c>
      <c r="V105" s="15">
        <v>65701.600000000006</v>
      </c>
      <c r="W105" s="15">
        <v>21935.381690487597</v>
      </c>
      <c r="X105" s="15">
        <v>5912.6023288629185</v>
      </c>
      <c r="Y105" s="15">
        <v>8645.4039903247412</v>
      </c>
      <c r="Z105" s="15">
        <v>8645.4039903247412</v>
      </c>
      <c r="AA105" s="15">
        <v>14496238.000000002</v>
      </c>
      <c r="AB105" s="15">
        <v>362418</v>
      </c>
      <c r="AC105" s="15">
        <v>465907.11056533648</v>
      </c>
      <c r="AD105" s="15">
        <v>195950.33922328436</v>
      </c>
      <c r="AE105" s="15">
        <v>-16321.246572003947</v>
      </c>
      <c r="AF105" s="15">
        <v>217095</v>
      </c>
      <c r="AG105" s="15">
        <v>238095.99999999994</v>
      </c>
      <c r="AH105" s="15">
        <v>4292555.203216617</v>
      </c>
      <c r="AI105" s="15">
        <v>1146862.9999999998</v>
      </c>
      <c r="AJ105" s="15">
        <v>892637.47489481256</v>
      </c>
      <c r="AK105" s="15">
        <v>254225.52510518747</v>
      </c>
      <c r="AL105" s="15">
        <f t="shared" si="28"/>
        <v>1230962.9779137212</v>
      </c>
      <c r="AM105" s="15">
        <v>715343.53808639664</v>
      </c>
      <c r="AN105" s="15">
        <v>515619.43982732465</v>
      </c>
      <c r="AO105" s="15">
        <v>467385.43042649055</v>
      </c>
      <c r="AP105" s="15">
        <v>500232.76746017829</v>
      </c>
      <c r="AQ105" s="15">
        <v>322173.08212503511</v>
      </c>
      <c r="AR105" s="15">
        <f t="shared" si="25"/>
        <v>178059.68533514318</v>
      </c>
      <c r="AS105" s="15">
        <v>1322023.9347649466</v>
      </c>
      <c r="AT105" s="15">
        <v>930770.15434550168</v>
      </c>
      <c r="AU105" s="15">
        <f t="shared" si="29"/>
        <v>391253.7804194449</v>
      </c>
      <c r="AV105" s="15">
        <v>-325041.00000000006</v>
      </c>
      <c r="AW105" s="15">
        <v>-229500.99999999994</v>
      </c>
      <c r="AX105" s="15">
        <v>10203682.796783386</v>
      </c>
      <c r="AY105" s="15">
        <v>8835039</v>
      </c>
      <c r="AZ105" s="15">
        <v>891003.88943466358</v>
      </c>
      <c r="BA105" s="15">
        <v>228703.53257576525</v>
      </c>
      <c r="BB105" s="15">
        <f t="shared" si="26"/>
        <v>662300.3568588983</v>
      </c>
      <c r="BC105" s="15">
        <v>521038.66077671555</v>
      </c>
      <c r="BD105" s="15">
        <v>-43398.753427996038</v>
      </c>
      <c r="BE105" s="15">
        <f t="shared" si="30"/>
        <v>716988.99999999988</v>
      </c>
      <c r="BF105" s="15">
        <v>7113995</v>
      </c>
      <c r="BG105" s="15">
        <v>1721044.0000000007</v>
      </c>
      <c r="BH105" s="15">
        <v>586577.65725073533</v>
      </c>
      <c r="BI105" s="15">
        <v>99589.342749264688</v>
      </c>
      <c r="BJ105" s="15">
        <v>206005</v>
      </c>
      <c r="BK105" s="15">
        <v>58187</v>
      </c>
      <c r="BL105" s="15">
        <v>35038.236486481583</v>
      </c>
      <c r="BM105" s="15">
        <v>5948.8030265878861</v>
      </c>
      <c r="BN105" s="15">
        <v>12925.960486930529</v>
      </c>
      <c r="BO105" s="15">
        <v>13670182.274624277</v>
      </c>
      <c r="BP105" s="15">
        <v>1628898.6385130694</v>
      </c>
      <c r="BQ105" s="15">
        <v>1085280.9568626545</v>
      </c>
      <c r="BR105" s="15">
        <v>1679905.87</v>
      </c>
      <c r="BS105" s="15">
        <v>208218.00000000009</v>
      </c>
      <c r="BT105" s="15">
        <v>831313.99999999988</v>
      </c>
      <c r="BU105" s="15">
        <v>62499</v>
      </c>
      <c r="BV105" s="15">
        <v>54851</v>
      </c>
      <c r="BW105" s="15">
        <v>74657</v>
      </c>
      <c r="BX105" s="15">
        <v>18767</v>
      </c>
      <c r="BY105" s="15">
        <v>79058</v>
      </c>
      <c r="BZ105" s="15">
        <v>306198</v>
      </c>
      <c r="CA105" s="15">
        <v>19728</v>
      </c>
      <c r="CB105" s="15">
        <v>40569</v>
      </c>
      <c r="CC105" s="15">
        <v>572843</v>
      </c>
      <c r="CD105" s="15">
        <v>439983</v>
      </c>
      <c r="CE105" s="15">
        <v>59.83458644852314</v>
      </c>
      <c r="CF105" s="15">
        <v>112973</v>
      </c>
      <c r="CG105" s="15">
        <v>1125799</v>
      </c>
      <c r="CH105" s="15">
        <v>2530745</v>
      </c>
      <c r="CI105" s="15">
        <v>860947</v>
      </c>
      <c r="CJ105" s="15">
        <v>55850.999999999898</v>
      </c>
      <c r="CK105" s="15">
        <v>94431.999999999956</v>
      </c>
      <c r="CL105" s="15">
        <v>4342597</v>
      </c>
      <c r="CM105" s="15">
        <v>4041800</v>
      </c>
      <c r="CN105" s="15">
        <v>-652640.99999999919</v>
      </c>
      <c r="CO105" s="15">
        <v>-108471.96048693039</v>
      </c>
      <c r="CP105" s="15">
        <v>-150753.27100000015</v>
      </c>
      <c r="CQ105" s="15">
        <v>526309</v>
      </c>
      <c r="CR105" s="15">
        <v>843557.59899999981</v>
      </c>
      <c r="CS105" s="15">
        <v>481833.99999999994</v>
      </c>
      <c r="CT105" s="15">
        <v>361723.59899999999</v>
      </c>
      <c r="CU105" s="15">
        <v>623550</v>
      </c>
      <c r="CV105" s="15">
        <v>366071.00100000057</v>
      </c>
      <c r="CW105" s="15">
        <v>1302850</v>
      </c>
      <c r="CX105" s="15">
        <v>374685</v>
      </c>
      <c r="CY105" s="15">
        <v>97626</v>
      </c>
      <c r="CZ105" s="15">
        <v>26179</v>
      </c>
      <c r="DA105" s="19">
        <v>0</v>
      </c>
      <c r="DB105" s="19">
        <v>0</v>
      </c>
      <c r="DC105" s="19">
        <v>9.0241899697945938E-3</v>
      </c>
      <c r="DD105" s="19">
        <v>1.4921006940209369E-2</v>
      </c>
      <c r="DE105" s="19">
        <v>0.21704739938400275</v>
      </c>
      <c r="DF105" s="19">
        <v>0.41726534018738959</v>
      </c>
      <c r="DG105" s="19">
        <v>0.34174206351860359</v>
      </c>
      <c r="DH105" s="15">
        <v>318943.96048693027</v>
      </c>
      <c r="DI105" s="15">
        <v>14214446.314137345</v>
      </c>
      <c r="DJ105" s="15">
        <v>11683701.314137347</v>
      </c>
      <c r="DK105" s="15">
        <v>14457657.000000002</v>
      </c>
      <c r="DL105" s="18">
        <v>8.0150362003733988E-2</v>
      </c>
      <c r="DM105" s="15">
        <v>8634408.8309788574</v>
      </c>
      <c r="DN105" s="15">
        <v>7273058.0846862635</v>
      </c>
      <c r="DO105" s="15">
        <v>968170.85219306825</v>
      </c>
      <c r="DP105" s="15">
        <v>99552.229273448407</v>
      </c>
      <c r="DQ105" s="15">
        <v>212605.04380508111</v>
      </c>
      <c r="DR105" s="15">
        <v>81022.62102099623</v>
      </c>
      <c r="DS105" s="15">
        <v>9117825.5509788562</v>
      </c>
      <c r="DT105" s="18">
        <f t="shared" si="31"/>
        <v>0.17191337451540814</v>
      </c>
      <c r="DU105" s="18">
        <f t="shared" si="32"/>
        <v>0.21657257394271812</v>
      </c>
      <c r="DV105" s="18">
        <f t="shared" si="33"/>
        <v>1.4569871724283347E-2</v>
      </c>
      <c r="DW105" s="18">
        <f t="shared" si="34"/>
        <v>-6.1090337055765893E-2</v>
      </c>
      <c r="DX105" s="18">
        <f t="shared" si="35"/>
        <v>5.6046598626601857E-2</v>
      </c>
      <c r="DY105" s="18">
        <f t="shared" si="36"/>
        <v>0.31394209663774586</v>
      </c>
      <c r="DZ105" s="18">
        <f t="shared" si="37"/>
        <v>-0.15285654920157193</v>
      </c>
      <c r="EA105" s="18">
        <f t="shared" si="38"/>
        <v>7.2055568765895486E-2</v>
      </c>
      <c r="EB105" s="18">
        <f t="shared" si="39"/>
        <v>0.36884680204468495</v>
      </c>
      <c r="EC105" s="18">
        <f t="shared" si="40"/>
        <v>0.64383497617327934</v>
      </c>
      <c r="ED105" s="18">
        <f t="shared" si="41"/>
        <v>6.4930043650567454E-2</v>
      </c>
      <c r="EE105" s="18">
        <f t="shared" si="42"/>
        <v>6.1741503128398496E-2</v>
      </c>
      <c r="EF105" s="18">
        <f t="shared" si="43"/>
        <v>1.7584144173927174E-2</v>
      </c>
      <c r="EG105" s="18">
        <f t="shared" si="44"/>
        <v>8.514263257965804E-2</v>
      </c>
      <c r="EH105" s="18">
        <f t="shared" si="45"/>
        <v>2.9659330721879103E-2</v>
      </c>
      <c r="EI105" s="18">
        <f t="shared" si="46"/>
        <v>3.459985027035696E-2</v>
      </c>
      <c r="EJ105" s="18">
        <f t="shared" si="47"/>
        <v>9.1441091372201341E-2</v>
      </c>
      <c r="EK105" s="18">
        <f t="shared" si="48"/>
        <v>-2.2482273580013694E-2</v>
      </c>
      <c r="EL105" s="18">
        <f t="shared" si="49"/>
        <v>-1.5874010567549078E-2</v>
      </c>
      <c r="EM105" s="6">
        <v>1.079167809592134</v>
      </c>
      <c r="EN105" s="6">
        <v>1.0811747672341818</v>
      </c>
      <c r="EO105" s="6">
        <v>1.0778813257382269</v>
      </c>
      <c r="EP105" s="6">
        <v>1.0654200728745784</v>
      </c>
      <c r="EQ105" s="14">
        <v>233067.76499999998</v>
      </c>
      <c r="ER105" s="22">
        <v>43446.345095223784</v>
      </c>
      <c r="ES105" s="15">
        <v>317099</v>
      </c>
      <c r="ET105" s="15">
        <v>173933</v>
      </c>
      <c r="EU105" s="15">
        <v>7.25</v>
      </c>
      <c r="EV105" s="6">
        <v>113700</v>
      </c>
      <c r="EW105" s="6">
        <v>0.124</v>
      </c>
      <c r="EX105" s="16">
        <v>0.106</v>
      </c>
      <c r="EY105" s="16">
        <v>1.7999999999999999E-2</v>
      </c>
      <c r="EZ105" s="6">
        <v>2.9000000000000001E-2</v>
      </c>
      <c r="FA105" s="20">
        <v>6100</v>
      </c>
      <c r="FB105" s="20">
        <v>8950</v>
      </c>
      <c r="FC105" s="20">
        <v>12200</v>
      </c>
      <c r="GI105" s="21">
        <v>122530.07</v>
      </c>
      <c r="GJ105" s="6">
        <v>0.25302370733502411</v>
      </c>
      <c r="GK105" s="6">
        <v>0.7146607973574548</v>
      </c>
      <c r="GL105" s="21">
        <v>2193129</v>
      </c>
      <c r="GM105" s="21">
        <v>2000000</v>
      </c>
    </row>
    <row r="106" spans="1:195" ht="15">
      <c r="A106" s="6">
        <v>2014</v>
      </c>
      <c r="B106" s="13">
        <v>0.90046839117025079</v>
      </c>
      <c r="C106" s="15">
        <f t="shared" si="27"/>
        <v>68364140.024195045</v>
      </c>
      <c r="D106" s="15">
        <v>10198208.612983482</v>
      </c>
      <c r="E106" s="15">
        <v>2424799.6732536303</v>
      </c>
      <c r="F106" s="15">
        <v>7439941.6870165151</v>
      </c>
      <c r="G106" s="15">
        <v>2332743.0509414226</v>
      </c>
      <c r="H106" s="15">
        <v>976632.49999999627</v>
      </c>
      <c r="I106" s="15">
        <v>4991787.5</v>
      </c>
      <c r="J106" s="15">
        <v>1768883.0791785303</v>
      </c>
      <c r="K106" s="15">
        <v>3222904.9208214702</v>
      </c>
      <c r="L106" s="15">
        <v>2814502.5</v>
      </c>
      <c r="M106" s="15">
        <v>3769282</v>
      </c>
      <c r="N106" s="15">
        <v>-9368276</v>
      </c>
      <c r="O106" s="15">
        <v>-1569955</v>
      </c>
      <c r="P106" s="15">
        <v>20966752</v>
      </c>
      <c r="Q106" s="15">
        <v>6497500</v>
      </c>
      <c r="R106" s="15">
        <v>18370952.5</v>
      </c>
      <c r="S106" s="15">
        <v>0.49373888673517563</v>
      </c>
      <c r="T106" s="15">
        <v>-4020595</v>
      </c>
      <c r="U106" s="15">
        <v>969908.99999999988</v>
      </c>
      <c r="V106" s="15">
        <v>54332</v>
      </c>
      <c r="W106" s="15">
        <v>16166.25873810781</v>
      </c>
      <c r="X106" s="15">
        <v>5062.6173513395233</v>
      </c>
      <c r="Y106" s="15">
        <v>8423.5619552763419</v>
      </c>
      <c r="Z106" s="15">
        <v>8423.5619552763419</v>
      </c>
      <c r="AA106" s="15">
        <v>15285259</v>
      </c>
      <c r="AB106" s="15">
        <v>406890</v>
      </c>
      <c r="AC106" s="15">
        <v>480462.95105521003</v>
      </c>
      <c r="AD106" s="15">
        <v>212214.46994194927</v>
      </c>
      <c r="AE106" s="15">
        <v>-16310.04340810085</v>
      </c>
      <c r="AF106" s="15">
        <v>225645</v>
      </c>
      <c r="AG106" s="15">
        <v>247767</v>
      </c>
      <c r="AH106" s="15">
        <v>4632163.3775890591</v>
      </c>
      <c r="AI106" s="15">
        <v>1158671.0000000002</v>
      </c>
      <c r="AJ106" s="15">
        <v>894010.84599678917</v>
      </c>
      <c r="AK106" s="15">
        <v>264660.15400321095</v>
      </c>
      <c r="AL106" s="15">
        <f t="shared" si="28"/>
        <v>1406057.9712487031</v>
      </c>
      <c r="AM106" s="15">
        <v>831221.87308827252</v>
      </c>
      <c r="AN106" s="15">
        <v>574836.09816043067</v>
      </c>
      <c r="AO106" s="15">
        <v>484935.72554480942</v>
      </c>
      <c r="AP106" s="15">
        <v>516075.28511855821</v>
      </c>
      <c r="AQ106" s="15">
        <v>334694.09882516903</v>
      </c>
      <c r="AR106" s="15">
        <f t="shared" si="25"/>
        <v>181381.18629338918</v>
      </c>
      <c r="AS106" s="15">
        <v>1432433.9691431392</v>
      </c>
      <c r="AT106" s="15">
        <v>1000781.2632869917</v>
      </c>
      <c r="AU106" s="15">
        <f t="shared" si="29"/>
        <v>431652.70585614746</v>
      </c>
      <c r="AV106" s="15">
        <v>-318186</v>
      </c>
      <c r="AW106" s="15">
        <v>-243729.00000000003</v>
      </c>
      <c r="AX106" s="15">
        <v>10653095.622410944</v>
      </c>
      <c r="AY106" s="15">
        <v>9250208</v>
      </c>
      <c r="AZ106" s="15">
        <v>901057.04894479038</v>
      </c>
      <c r="BA106" s="15">
        <v>226661.28685052344</v>
      </c>
      <c r="BB106" s="15">
        <f t="shared" si="26"/>
        <v>674395.76209426695</v>
      </c>
      <c r="BC106" s="15">
        <v>543610.53005805099</v>
      </c>
      <c r="BD106" s="15">
        <v>-41779.956591899143</v>
      </c>
      <c r="BE106" s="15">
        <f t="shared" si="30"/>
        <v>755825.00000000023</v>
      </c>
      <c r="BF106" s="15">
        <v>7476332</v>
      </c>
      <c r="BG106" s="15">
        <v>1773876.0000000002</v>
      </c>
      <c r="BH106" s="15">
        <v>613594.23607052665</v>
      </c>
      <c r="BI106" s="15">
        <v>104194.76392947331</v>
      </c>
      <c r="BJ106" s="15">
        <v>216637.99999999997</v>
      </c>
      <c r="BK106" s="15">
        <v>55525</v>
      </c>
      <c r="BL106" s="15">
        <v>37935.460441028772</v>
      </c>
      <c r="BM106" s="15">
        <v>6441.8407358613849</v>
      </c>
      <c r="BN106" s="15">
        <v>14076.698823109842</v>
      </c>
      <c r="BO106" s="15">
        <v>14357957.089302676</v>
      </c>
      <c r="BP106" s="15">
        <v>1698021.7419452928</v>
      </c>
      <c r="BQ106" s="15">
        <v>1182266.5320853654</v>
      </c>
      <c r="BR106" s="15">
        <v>1769671.3633333333</v>
      </c>
      <c r="BS106" s="15">
        <v>183315.00000000006</v>
      </c>
      <c r="BT106" s="15">
        <v>869584</v>
      </c>
      <c r="BU106" s="15">
        <v>35463</v>
      </c>
      <c r="BV106" s="15">
        <v>55794</v>
      </c>
      <c r="BW106" s="15">
        <v>69409</v>
      </c>
      <c r="BX106" s="15">
        <v>18908</v>
      </c>
      <c r="BY106" s="15">
        <v>84162</v>
      </c>
      <c r="BZ106" s="15">
        <v>320865</v>
      </c>
      <c r="CA106" s="15">
        <v>20133</v>
      </c>
      <c r="CB106" s="15">
        <v>41625</v>
      </c>
      <c r="CC106" s="15">
        <v>600007</v>
      </c>
      <c r="CD106" s="15">
        <v>490872</v>
      </c>
      <c r="CE106" s="15">
        <v>65.096062642569422</v>
      </c>
      <c r="CF106" s="15">
        <v>117280</v>
      </c>
      <c r="CG106" s="15">
        <v>1208158.9999999998</v>
      </c>
      <c r="CH106" s="15">
        <v>2562276</v>
      </c>
      <c r="CI106" s="15">
        <v>883586</v>
      </c>
      <c r="CJ106" s="15">
        <v>56805.999999999898</v>
      </c>
      <c r="CK106" s="15">
        <v>179021.00000000003</v>
      </c>
      <c r="CL106" s="15">
        <v>4599159.0000000009</v>
      </c>
      <c r="CM106" s="15">
        <v>4175461.9999999995</v>
      </c>
      <c r="CN106" s="15">
        <v>-539343.99999999907</v>
      </c>
      <c r="CO106" s="15">
        <v>-87355.698823109895</v>
      </c>
      <c r="CP106" s="15">
        <v>-167608.92256493049</v>
      </c>
      <c r="CQ106" s="15">
        <v>546421</v>
      </c>
      <c r="CR106" s="15">
        <v>880330.44076840288</v>
      </c>
      <c r="CS106" s="15">
        <v>493185</v>
      </c>
      <c r="CT106" s="15">
        <v>387145.44076840288</v>
      </c>
      <c r="CU106" s="15">
        <v>642994</v>
      </c>
      <c r="CV106" s="15">
        <v>395342.15923159762</v>
      </c>
      <c r="CW106" s="15">
        <v>1403727</v>
      </c>
      <c r="CX106" s="15">
        <v>381953</v>
      </c>
      <c r="CY106" s="15">
        <v>114996</v>
      </c>
      <c r="CZ106" s="15">
        <v>23799</v>
      </c>
      <c r="DA106" s="19">
        <v>0</v>
      </c>
      <c r="DB106" s="19">
        <v>0</v>
      </c>
      <c r="DC106" s="19">
        <v>0</v>
      </c>
      <c r="DD106" s="19">
        <v>0</v>
      </c>
      <c r="DE106" s="19">
        <v>0.20170031302013192</v>
      </c>
      <c r="DF106" s="19">
        <v>0.43907289383131459</v>
      </c>
      <c r="DG106" s="19">
        <v>0.35922679314855338</v>
      </c>
      <c r="DH106" s="15">
        <v>335861.69882311003</v>
      </c>
      <c r="DI106" s="15">
        <v>14810041.390479565</v>
      </c>
      <c r="DJ106" s="15">
        <v>12247765.390479565</v>
      </c>
      <c r="DK106" s="15">
        <v>15163044</v>
      </c>
      <c r="DL106" s="18">
        <v>8.1179714376000023E-2</v>
      </c>
      <c r="DM106" s="15">
        <v>9131895.9291883241</v>
      </c>
      <c r="DN106" s="15">
        <v>7636955.8652976453</v>
      </c>
      <c r="DO106" s="15">
        <v>1054867.2103592248</v>
      </c>
      <c r="DP106" s="15">
        <v>93035.465525755251</v>
      </c>
      <c r="DQ106" s="15">
        <v>252336.83302990289</v>
      </c>
      <c r="DR106" s="15">
        <v>94700.554975796098</v>
      </c>
      <c r="DS106" s="15">
        <v>9819294.5691883229</v>
      </c>
      <c r="DT106" s="18">
        <f t="shared" si="31"/>
        <v>0.19034410596517556</v>
      </c>
      <c r="DU106" s="18">
        <f t="shared" si="32"/>
        <v>0.19270507764083711</v>
      </c>
      <c r="DV106" s="18">
        <f t="shared" si="33"/>
        <v>1.418739414635707E-2</v>
      </c>
      <c r="DW106" s="18">
        <f t="shared" si="34"/>
        <v>-5.8811461660704778E-2</v>
      </c>
      <c r="DX106" s="18">
        <f t="shared" si="35"/>
        <v>5.513536773322969E-2</v>
      </c>
      <c r="DY106" s="18">
        <f t="shared" si="36"/>
        <v>0.3066922511214149</v>
      </c>
      <c r="DZ106" s="18">
        <f t="shared" si="37"/>
        <v>-0.13703494253982326</v>
      </c>
      <c r="EA106" s="18">
        <f t="shared" si="38"/>
        <v>7.3017630269807177E-2</v>
      </c>
      <c r="EB106" s="18">
        <f t="shared" si="39"/>
        <v>0.36376457732370654</v>
      </c>
      <c r="EC106" s="18">
        <f t="shared" si="40"/>
        <v>0.64271830985978418</v>
      </c>
      <c r="ED106" s="18">
        <f t="shared" si="41"/>
        <v>6.2606793661833388E-2</v>
      </c>
      <c r="EE106" s="18">
        <f t="shared" si="42"/>
        <v>5.8959853047764632E-2</v>
      </c>
      <c r="EF106" s="18">
        <f t="shared" si="43"/>
        <v>1.7454289125798945E-2</v>
      </c>
      <c r="EG106" s="18">
        <f t="shared" si="44"/>
        <v>9.2729268031452206E-2</v>
      </c>
      <c r="EH106" s="18">
        <f t="shared" si="45"/>
        <v>2.3921366022865147E-2</v>
      </c>
      <c r="EI106" s="18">
        <f t="shared" si="46"/>
        <v>3.4035071395859449E-2</v>
      </c>
      <c r="EJ106" s="18">
        <f t="shared" si="47"/>
        <v>9.4468760305855423E-2</v>
      </c>
      <c r="EK106" s="18">
        <f t="shared" si="48"/>
        <v>-2.0984308955378617E-2</v>
      </c>
      <c r="EL106" s="18">
        <f t="shared" si="49"/>
        <v>-1.6073883317887887E-2</v>
      </c>
      <c r="EM106" s="6">
        <v>1.0607034717325481</v>
      </c>
      <c r="EN106" s="6">
        <v>1.063362714119408</v>
      </c>
      <c r="EO106" s="6">
        <v>1.060675182481752</v>
      </c>
      <c r="EP106" s="6">
        <v>1.0507202355824179</v>
      </c>
      <c r="EQ106" s="14">
        <v>236185.139</v>
      </c>
      <c r="ER106" s="22">
        <v>44772.669505592836</v>
      </c>
      <c r="ES106" s="15">
        <v>319601</v>
      </c>
      <c r="ET106" s="15">
        <v>176857</v>
      </c>
      <c r="EU106" s="15">
        <v>7.25</v>
      </c>
      <c r="EV106" s="6">
        <v>117000</v>
      </c>
      <c r="EW106" s="6">
        <v>0.124</v>
      </c>
      <c r="EX106" s="16">
        <v>0.106</v>
      </c>
      <c r="EY106" s="16">
        <v>1.7999999999999999E-2</v>
      </c>
      <c r="EZ106" s="6">
        <v>2.9000000000000001E-2</v>
      </c>
      <c r="FA106" s="20">
        <v>6200</v>
      </c>
      <c r="FB106" s="20">
        <v>9100</v>
      </c>
      <c r="FC106" s="20">
        <v>12400</v>
      </c>
      <c r="GI106" s="21">
        <v>123680.61333333334</v>
      </c>
      <c r="GJ106" s="6">
        <v>0.28002275673722465</v>
      </c>
      <c r="GK106" s="6">
        <v>0.71143235664692794</v>
      </c>
      <c r="GL106" s="21">
        <v>2694620</v>
      </c>
      <c r="GM106" s="21">
        <v>2290000</v>
      </c>
    </row>
    <row r="107" spans="1:195" ht="15">
      <c r="A107" s="12">
        <v>2015</v>
      </c>
      <c r="B107" s="13">
        <v>0.89946447995983603</v>
      </c>
      <c r="C107" s="15">
        <f t="shared" si="27"/>
        <v>72263468.884421736</v>
      </c>
      <c r="D107" s="15">
        <v>10526507.579792019</v>
      </c>
      <c r="E107" s="15">
        <v>2461817.0239079348</v>
      </c>
      <c r="F107" s="15">
        <v>7876516.5702079842</v>
      </c>
      <c r="G107" s="15">
        <v>2389616.7105138004</v>
      </c>
      <c r="H107" s="15">
        <v>994719.49999999721</v>
      </c>
      <c r="I107" s="15">
        <v>5420994</v>
      </c>
      <c r="J107" s="15">
        <v>1785977.9601760847</v>
      </c>
      <c r="K107" s="15">
        <v>3635016.5398239139</v>
      </c>
      <c r="L107" s="15">
        <v>3131575.5</v>
      </c>
      <c r="M107" s="15">
        <v>4043890.0000000005</v>
      </c>
      <c r="N107" s="15">
        <v>-9388657</v>
      </c>
      <c r="O107" s="15">
        <v>-1689191.5</v>
      </c>
      <c r="P107" s="15">
        <v>22413014.5</v>
      </c>
      <c r="Q107" s="15">
        <v>6810500</v>
      </c>
      <c r="R107" s="15">
        <v>18738172</v>
      </c>
      <c r="S107" s="15">
        <v>0.48972968648313842</v>
      </c>
      <c r="T107" s="15">
        <v>-4155763</v>
      </c>
      <c r="U107" s="15">
        <v>1000565.4999999999</v>
      </c>
      <c r="V107" s="15">
        <v>61360.118750000009</v>
      </c>
      <c r="W107" s="15">
        <v>23298.111383306186</v>
      </c>
      <c r="X107" s="15">
        <v>10338.610515571594</v>
      </c>
      <c r="Y107" s="15">
        <v>21200.579675561123</v>
      </c>
      <c r="Z107" s="15">
        <v>21200.579675561123</v>
      </c>
      <c r="AA107" s="15">
        <v>15812589</v>
      </c>
      <c r="AB107" s="15">
        <v>396125</v>
      </c>
      <c r="AC107" s="15">
        <v>458195.59696454584</v>
      </c>
      <c r="AD107" s="15">
        <v>215008.052629791</v>
      </c>
      <c r="AE107" s="15">
        <v>-15739.324240508155</v>
      </c>
      <c r="AF107" s="15">
        <v>232815</v>
      </c>
      <c r="AG107" s="15">
        <v>256517</v>
      </c>
      <c r="AH107" s="15">
        <v>4706315.3253538301</v>
      </c>
      <c r="AI107" s="15">
        <v>1186648.0000000002</v>
      </c>
      <c r="AJ107" s="15">
        <v>910824.71145368228</v>
      </c>
      <c r="AK107" s="15">
        <v>275823.28854631772</v>
      </c>
      <c r="AL107" s="15">
        <f t="shared" si="28"/>
        <v>1453049.9686695798</v>
      </c>
      <c r="AM107" s="15">
        <v>809983.25405660982</v>
      </c>
      <c r="AN107" s="15">
        <v>643066.71461297013</v>
      </c>
      <c r="AO107" s="15">
        <v>528074.15481627313</v>
      </c>
      <c r="AP107" s="15">
        <v>495295.19486080809</v>
      </c>
      <c r="AQ107" s="15">
        <v>315955.77755429305</v>
      </c>
      <c r="AR107" s="15">
        <f t="shared" si="25"/>
        <v>179339.41730651504</v>
      </c>
      <c r="AS107" s="15">
        <v>1430341.2786178854</v>
      </c>
      <c r="AT107" s="15">
        <v>962756.5774375794</v>
      </c>
      <c r="AU107" s="15">
        <f t="shared" si="29"/>
        <v>467584.70118030603</v>
      </c>
      <c r="AV107" s="15">
        <v>-322878.00000000006</v>
      </c>
      <c r="AW107" s="15">
        <v>-263484</v>
      </c>
      <c r="AX107" s="15">
        <v>11106273.674646171</v>
      </c>
      <c r="AY107" s="15">
        <v>9699419</v>
      </c>
      <c r="AZ107" s="15">
        <v>882040.4030354541</v>
      </c>
      <c r="BA107" s="15">
        <v>217324.34961990805</v>
      </c>
      <c r="BB107" s="15">
        <f t="shared" si="26"/>
        <v>664716.05341554608</v>
      </c>
      <c r="BC107" s="15">
        <v>566266.94737020915</v>
      </c>
      <c r="BD107" s="15">
        <v>-41452.675759491853</v>
      </c>
      <c r="BE107" s="15">
        <f t="shared" si="30"/>
        <v>781275.00000000012</v>
      </c>
      <c r="BF107" s="15">
        <v>7859483</v>
      </c>
      <c r="BG107" s="15">
        <v>1839935.9999999998</v>
      </c>
      <c r="BH107" s="15">
        <v>643652.09503564297</v>
      </c>
      <c r="BI107" s="15">
        <v>109298.904964357</v>
      </c>
      <c r="BJ107" s="15">
        <v>227973</v>
      </c>
      <c r="BK107" s="15">
        <v>52129</v>
      </c>
      <c r="BL107" s="15">
        <v>39590.05959471051</v>
      </c>
      <c r="BM107" s="15">
        <v>6722.8090991234521</v>
      </c>
      <c r="BN107" s="15">
        <v>14748.131306166029</v>
      </c>
      <c r="BO107" s="15">
        <v>14904996.758095428</v>
      </c>
      <c r="BP107" s="15">
        <v>1769289.2104518609</v>
      </c>
      <c r="BQ107" s="15">
        <v>1179661.9197860442</v>
      </c>
      <c r="BR107" s="15">
        <v>1859407.8883333332</v>
      </c>
      <c r="BS107" s="15">
        <v>181951.00000000003</v>
      </c>
      <c r="BT107" s="15">
        <v>908402</v>
      </c>
      <c r="BU107" s="15">
        <v>32545</v>
      </c>
      <c r="BV107" s="15">
        <v>56661</v>
      </c>
      <c r="BW107" s="15">
        <v>68737</v>
      </c>
      <c r="BX107" s="15">
        <v>18681.000000000004</v>
      </c>
      <c r="BY107" s="15">
        <v>92568</v>
      </c>
      <c r="BZ107" s="15">
        <v>334850</v>
      </c>
      <c r="CA107" s="15">
        <v>20953</v>
      </c>
      <c r="CB107" s="15">
        <v>43934</v>
      </c>
      <c r="CC107" s="15">
        <v>634939</v>
      </c>
      <c r="CD107" s="15">
        <v>535913</v>
      </c>
      <c r="CE107" s="15">
        <v>69.803012166666676</v>
      </c>
      <c r="CF107" s="15">
        <v>116421</v>
      </c>
      <c r="CG107" s="15">
        <v>1287273</v>
      </c>
      <c r="CH107" s="15">
        <v>2603988</v>
      </c>
      <c r="CI107" s="15">
        <v>907763</v>
      </c>
      <c r="CJ107" s="15">
        <v>54501.99999999984</v>
      </c>
      <c r="CK107" s="15">
        <v>183394</v>
      </c>
      <c r="CL107" s="15">
        <v>4837915.9999999991</v>
      </c>
      <c r="CM107" s="15">
        <v>4318679</v>
      </c>
      <c r="CN107" s="15">
        <v>-478811.00000000058</v>
      </c>
      <c r="CO107" s="15">
        <v>-89554.131306166033</v>
      </c>
      <c r="CP107" s="15">
        <v>-182515.54657530642</v>
      </c>
      <c r="CQ107" s="15">
        <v>569362</v>
      </c>
      <c r="CR107" s="15">
        <v>917896.34175802686</v>
      </c>
      <c r="CS107" s="15">
        <v>501891.99999999994</v>
      </c>
      <c r="CT107" s="15">
        <v>416004.34175802697</v>
      </c>
      <c r="CU107" s="15">
        <v>671990</v>
      </c>
      <c r="CV107" s="15">
        <v>427777.15824197285</v>
      </c>
      <c r="CW107" s="15">
        <v>1532578</v>
      </c>
      <c r="CX107" s="15">
        <v>408309</v>
      </c>
      <c r="CY107" s="15">
        <v>125884</v>
      </c>
      <c r="CZ107" s="15">
        <v>25548</v>
      </c>
      <c r="DA107" s="19">
        <v>0</v>
      </c>
      <c r="DB107" s="19">
        <v>0</v>
      </c>
      <c r="DC107" s="19">
        <v>0</v>
      </c>
      <c r="DD107" s="19">
        <v>0</v>
      </c>
      <c r="DE107" s="19">
        <v>0.20170031302013192</v>
      </c>
      <c r="DF107" s="19">
        <v>0.43907289383131459</v>
      </c>
      <c r="DG107" s="19">
        <v>0.35922679314855338</v>
      </c>
      <c r="DH107" s="15">
        <v>353356.13130616583</v>
      </c>
      <c r="DI107" s="15">
        <v>15294344.626789261</v>
      </c>
      <c r="DJ107" s="15">
        <v>12690356.626789263</v>
      </c>
      <c r="DK107" s="15">
        <v>15683697</v>
      </c>
      <c r="DL107" s="18">
        <v>8.0336176778109294E-2</v>
      </c>
      <c r="DM107" s="15">
        <v>9573130.7868447788</v>
      </c>
      <c r="DN107" s="15">
        <v>8029246.8019365715</v>
      </c>
      <c r="DO107" s="15">
        <v>1107231.9590585874</v>
      </c>
      <c r="DP107" s="15">
        <v>95083.048062410569</v>
      </c>
      <c r="DQ107" s="15">
        <v>258051.9477807676</v>
      </c>
      <c r="DR107" s="15">
        <v>83517.030006440837</v>
      </c>
      <c r="DS107" s="15">
        <v>10268094.936844777</v>
      </c>
      <c r="DT107" s="18">
        <f t="shared" si="31"/>
        <v>0.18900397795235613</v>
      </c>
      <c r="DU107" s="18">
        <f t="shared" si="32"/>
        <v>0.18989774524355824</v>
      </c>
      <c r="DV107" s="18">
        <f t="shared" si="33"/>
        <v>1.384607624635769E-2</v>
      </c>
      <c r="DW107" s="18">
        <f t="shared" si="34"/>
        <v>-5.750849030852271E-2</v>
      </c>
      <c r="DX107" s="18">
        <f t="shared" si="35"/>
        <v>5.5960363686218859E-2</v>
      </c>
      <c r="DY107" s="18">
        <f t="shared" si="36"/>
        <v>0.3101569139428858</v>
      </c>
      <c r="DZ107" s="18">
        <f t="shared" si="37"/>
        <v>-0.12992258944856672</v>
      </c>
      <c r="EA107" s="18">
        <f t="shared" si="38"/>
        <v>7.5017074099644226E-2</v>
      </c>
      <c r="EB107" s="18">
        <f t="shared" si="39"/>
        <v>0.35354892858606846</v>
      </c>
      <c r="EC107" s="18">
        <f t="shared" si="40"/>
        <v>0.65153538371173103</v>
      </c>
      <c r="ED107" s="18">
        <f t="shared" si="41"/>
        <v>5.9248964545294353E-2</v>
      </c>
      <c r="EE107" s="18">
        <f t="shared" si="42"/>
        <v>5.807461795861539E-2</v>
      </c>
      <c r="EF107" s="18">
        <f t="shared" si="43"/>
        <v>1.7586624413001458E-2</v>
      </c>
      <c r="EG107" s="18">
        <f t="shared" si="44"/>
        <v>9.26471589364153E-2</v>
      </c>
      <c r="EH107" s="18">
        <f t="shared" si="45"/>
        <v>2.5452044554053355E-2</v>
      </c>
      <c r="EI107" s="18">
        <f t="shared" si="46"/>
        <v>3.1580257821915848E-2</v>
      </c>
      <c r="EJ107" s="18">
        <f t="shared" si="47"/>
        <v>9.1199242029343305E-2</v>
      </c>
      <c r="EK107" s="18">
        <f t="shared" si="48"/>
        <v>-2.0586855254854774E-2</v>
      </c>
      <c r="EL107" s="18">
        <f t="shared" si="49"/>
        <v>-1.6799865490897969E-2</v>
      </c>
      <c r="EM107" s="6">
        <v>1.051533250408627</v>
      </c>
      <c r="EN107" s="6">
        <v>1.0538438559081966</v>
      </c>
      <c r="EO107" s="6">
        <v>1.0594176789006695</v>
      </c>
      <c r="EP107" s="6">
        <v>1.0487980349232777</v>
      </c>
      <c r="EQ107" s="14">
        <v>238363.62</v>
      </c>
      <c r="ER107" s="22">
        <v>46095.094131974445</v>
      </c>
      <c r="ES107" s="15">
        <v>322113</v>
      </c>
      <c r="ET107" s="15">
        <v>178481</v>
      </c>
      <c r="EU107" s="15">
        <v>7.25</v>
      </c>
      <c r="EV107" s="6">
        <v>118500</v>
      </c>
      <c r="EW107" s="6">
        <v>0.124</v>
      </c>
      <c r="EX107" s="16">
        <v>0.106</v>
      </c>
      <c r="EY107" s="16">
        <v>1.7999999999999999E-2</v>
      </c>
      <c r="EZ107" s="6">
        <v>2.9000000000000001E-2</v>
      </c>
      <c r="FA107" s="20">
        <v>6300</v>
      </c>
      <c r="FB107" s="20">
        <v>9250</v>
      </c>
      <c r="FC107" s="20">
        <v>12600</v>
      </c>
      <c r="GI107" s="21">
        <v>124831.15666666668</v>
      </c>
      <c r="GJ107" s="6">
        <v>0.30082933464293221</v>
      </c>
      <c r="GK107" s="6">
        <v>0.73248698664724754</v>
      </c>
      <c r="GL107" s="21">
        <v>2906081</v>
      </c>
      <c r="GM107" s="21">
        <v>2337600</v>
      </c>
    </row>
    <row r="108" spans="1:195" ht="15">
      <c r="A108" s="6">
        <v>2016</v>
      </c>
      <c r="B108" s="13">
        <v>0.88896224468743557</v>
      </c>
      <c r="C108" s="15">
        <f t="shared" si="27"/>
        <v>75641496.342544198</v>
      </c>
      <c r="D108" s="15">
        <v>10701961.202353932</v>
      </c>
      <c r="E108" s="15">
        <v>2425427.4842520161</v>
      </c>
      <c r="F108" s="15">
        <v>8307349.0976460669</v>
      </c>
      <c r="G108" s="15">
        <v>2363093.5582921719</v>
      </c>
      <c r="H108" s="15">
        <v>1023833.9999999993</v>
      </c>
      <c r="I108" s="15">
        <v>5680251.4999999991</v>
      </c>
      <c r="J108" s="15">
        <v>1780404.9302251628</v>
      </c>
      <c r="K108" s="15">
        <v>3899846.0697748358</v>
      </c>
      <c r="L108" s="15">
        <v>3349538.5</v>
      </c>
      <c r="M108" s="15">
        <v>4308425</v>
      </c>
      <c r="N108" s="15">
        <v>-9513868</v>
      </c>
      <c r="O108" s="15">
        <v>-1837522</v>
      </c>
      <c r="P108" s="15">
        <v>24041593.500000004</v>
      </c>
      <c r="Q108" s="15">
        <v>7155500</v>
      </c>
      <c r="R108" s="15">
        <v>19122120</v>
      </c>
      <c r="S108" s="15">
        <v>0.48557364257116326</v>
      </c>
      <c r="T108" s="15">
        <v>-4335113.4999999991</v>
      </c>
      <c r="U108" s="15">
        <v>1011384</v>
      </c>
      <c r="V108" s="15">
        <v>68388.237500000017</v>
      </c>
      <c r="W108" s="15">
        <v>28440.60541963598</v>
      </c>
      <c r="X108" s="15">
        <v>15665.201113559591</v>
      </c>
      <c r="Y108" s="15">
        <v>34946.977983402212</v>
      </c>
      <c r="Z108" s="15">
        <v>34946.977983402212</v>
      </c>
      <c r="AA108" s="15">
        <v>16157345</v>
      </c>
      <c r="AB108" s="15">
        <v>376034</v>
      </c>
      <c r="AC108" s="15">
        <v>463082.4119497154</v>
      </c>
      <c r="AD108" s="15">
        <v>217954.23712809934</v>
      </c>
      <c r="AE108" s="15">
        <v>-16894.302929883077</v>
      </c>
      <c r="AF108" s="15">
        <v>242537.00000000003</v>
      </c>
      <c r="AG108" s="15">
        <v>267821.00000000006</v>
      </c>
      <c r="AH108" s="15">
        <v>4791386.3461479321</v>
      </c>
      <c r="AI108" s="15">
        <v>1223668.9999999998</v>
      </c>
      <c r="AJ108" s="15">
        <v>939357.01625061687</v>
      </c>
      <c r="AK108" s="15">
        <v>284311.98374938319</v>
      </c>
      <c r="AL108" s="15">
        <f t="shared" si="28"/>
        <v>1472551.2800492793</v>
      </c>
      <c r="AM108" s="15">
        <v>800607.03683289385</v>
      </c>
      <c r="AN108" s="15">
        <v>671944.24321638537</v>
      </c>
      <c r="AO108" s="15">
        <v>548705.89183373598</v>
      </c>
      <c r="AP108" s="15">
        <v>501603.4870469349</v>
      </c>
      <c r="AQ108" s="15">
        <v>328900.52045368426</v>
      </c>
      <c r="AR108" s="15">
        <f t="shared" si="25"/>
        <v>172702.96659325063</v>
      </c>
      <c r="AS108" s="15">
        <v>1444752.753019765</v>
      </c>
      <c r="AT108" s="15">
        <v>954546.66260289506</v>
      </c>
      <c r="AU108" s="15">
        <f t="shared" si="29"/>
        <v>490206.09041686996</v>
      </c>
      <c r="AV108" s="15">
        <v>-328189.99999999994</v>
      </c>
      <c r="AW108" s="15">
        <v>-272766</v>
      </c>
      <c r="AX108" s="15">
        <v>11365958.65385207</v>
      </c>
      <c r="AY108" s="15">
        <v>9966108</v>
      </c>
      <c r="AZ108" s="15">
        <v>866044.58805028501</v>
      </c>
      <c r="BA108" s="15">
        <v>229287.16740697282</v>
      </c>
      <c r="BB108" s="15">
        <f t="shared" si="26"/>
        <v>636757.42064331216</v>
      </c>
      <c r="BC108" s="15">
        <v>578659.76287190046</v>
      </c>
      <c r="BD108" s="15">
        <v>-44853.697070116912</v>
      </c>
      <c r="BE108" s="15">
        <f t="shared" si="30"/>
        <v>796613.99999999977</v>
      </c>
      <c r="BF108" s="15">
        <v>8091240</v>
      </c>
      <c r="BG108" s="15">
        <v>1874868.0000000005</v>
      </c>
      <c r="BH108" s="15">
        <v>662973.1725718911</v>
      </c>
      <c r="BI108" s="15">
        <v>112579.82742810882</v>
      </c>
      <c r="BJ108" s="15">
        <v>234102</v>
      </c>
      <c r="BK108" s="15">
        <v>47836</v>
      </c>
      <c r="BL108" s="15">
        <v>40182.625161524789</v>
      </c>
      <c r="BM108" s="15">
        <v>6823.4329735300107</v>
      </c>
      <c r="BN108" s="15">
        <v>14911.941864945195</v>
      </c>
      <c r="BO108" s="15">
        <v>15217488.612136059</v>
      </c>
      <c r="BP108" s="15">
        <v>1821437.31928228</v>
      </c>
      <c r="BQ108" s="15">
        <v>1191989.086914995</v>
      </c>
      <c r="BR108" s="15">
        <v>1892365.0183333331</v>
      </c>
      <c r="BS108" s="15">
        <v>181204.99999999971</v>
      </c>
      <c r="BT108" s="15">
        <v>931869</v>
      </c>
      <c r="BU108" s="15">
        <v>32037.999999999996</v>
      </c>
      <c r="BV108" s="15">
        <v>56449</v>
      </c>
      <c r="BW108" s="15">
        <v>65501.999999999993</v>
      </c>
      <c r="BX108" s="15">
        <v>18021.999999999967</v>
      </c>
      <c r="BY108" s="15">
        <v>96773</v>
      </c>
      <c r="BZ108" s="15">
        <v>335230.99999999994</v>
      </c>
      <c r="CA108" s="15">
        <v>20219</v>
      </c>
      <c r="CB108" s="15">
        <v>44225</v>
      </c>
      <c r="CC108" s="15">
        <v>662108</v>
      </c>
      <c r="CD108" s="15">
        <v>562783</v>
      </c>
      <c r="CE108" s="15">
        <v>72.125330333333324</v>
      </c>
      <c r="CF108" s="15">
        <v>117500.99999999999</v>
      </c>
      <c r="CG108" s="15">
        <v>1342392</v>
      </c>
      <c r="CH108" s="15">
        <v>2653374</v>
      </c>
      <c r="CI108" s="15">
        <v>929517</v>
      </c>
      <c r="CJ108" s="15">
        <v>58012.999999999804</v>
      </c>
      <c r="CK108" s="15">
        <v>241547.99999999997</v>
      </c>
      <c r="CL108" s="15">
        <v>4905871.9999999991</v>
      </c>
      <c r="CM108" s="15">
        <v>4427769.9999999991</v>
      </c>
      <c r="CN108" s="15">
        <v>-547465.00000000058</v>
      </c>
      <c r="CO108" s="15">
        <v>-93511.941864945184</v>
      </c>
      <c r="CP108" s="15">
        <v>-158620.75718610789</v>
      </c>
      <c r="CQ108" s="15">
        <v>580946</v>
      </c>
      <c r="CR108" s="15">
        <v>951042.26114722528</v>
      </c>
      <c r="CS108" s="15">
        <v>514598.00000000006</v>
      </c>
      <c r="CT108" s="15">
        <v>436444.26114722522</v>
      </c>
      <c r="CU108" s="15">
        <v>684812</v>
      </c>
      <c r="CV108" s="15">
        <v>531707.93885277491</v>
      </c>
      <c r="CW108" s="15">
        <v>1547946</v>
      </c>
      <c r="CX108" s="15">
        <v>410806</v>
      </c>
      <c r="CY108" s="15">
        <v>130814</v>
      </c>
      <c r="CZ108" s="15">
        <v>25277</v>
      </c>
      <c r="DA108" s="19">
        <v>0</v>
      </c>
      <c r="DB108" s="19">
        <v>0</v>
      </c>
      <c r="DC108" s="19">
        <v>0</v>
      </c>
      <c r="DD108" s="23">
        <v>0</v>
      </c>
      <c r="DE108" s="23">
        <v>0.20170031302013192</v>
      </c>
      <c r="DF108" s="23">
        <v>0.43907289383131459</v>
      </c>
      <c r="DG108" s="23">
        <v>0.35922679314855338</v>
      </c>
      <c r="DH108" s="15">
        <v>368441.94186494499</v>
      </c>
      <c r="DI108" s="15">
        <v>15671529.670271114</v>
      </c>
      <c r="DJ108" s="15">
        <v>13018155.670271114</v>
      </c>
      <c r="DK108" s="15">
        <v>15973809.999999998</v>
      </c>
      <c r="DL108" s="18">
        <v>6.0941762450188605E-2</v>
      </c>
      <c r="DM108" s="15">
        <v>9656762.0041133594</v>
      </c>
      <c r="DN108" s="15">
        <v>8119638.5396170132</v>
      </c>
      <c r="DO108" s="15">
        <v>1112203.6029087966</v>
      </c>
      <c r="DP108" s="15">
        <v>95837.554974001541</v>
      </c>
      <c r="DQ108" s="15">
        <v>251921.34249490063</v>
      </c>
      <c r="DR108" s="15">
        <v>77160.964118646953</v>
      </c>
      <c r="DS108" s="15">
        <v>10270997.564113358</v>
      </c>
      <c r="DT108" s="18">
        <f t="shared" si="31"/>
        <v>0.18576443330419329</v>
      </c>
      <c r="DU108" s="18">
        <f t="shared" si="32"/>
        <v>0.18666611348153217</v>
      </c>
      <c r="DV108" s="18">
        <f t="shared" si="33"/>
        <v>1.3370756118043E-2</v>
      </c>
      <c r="DW108" s="18">
        <f t="shared" si="34"/>
        <v>-5.7311313361231526E-2</v>
      </c>
      <c r="DX108" s="18">
        <f t="shared" si="35"/>
        <v>5.6958484539877445E-2</v>
      </c>
      <c r="DY108" s="18">
        <f t="shared" si="36"/>
        <v>0.31783603792192466</v>
      </c>
      <c r="DZ108" s="18">
        <f t="shared" si="37"/>
        <v>-0.12577577731826242</v>
      </c>
      <c r="EA108" s="18">
        <f t="shared" si="38"/>
        <v>7.509438303913045E-2</v>
      </c>
      <c r="EB108" s="18">
        <f t="shared" si="39"/>
        <v>0.34739688227479282</v>
      </c>
      <c r="EC108" s="18">
        <f t="shared" si="40"/>
        <v>0.65723225501927263</v>
      </c>
      <c r="ED108" s="18">
        <f t="shared" si="41"/>
        <v>5.7112810492473666E-2</v>
      </c>
      <c r="EE108" s="18">
        <f t="shared" si="42"/>
        <v>5.8806071704284514E-2</v>
      </c>
      <c r="EF108" s="18">
        <f t="shared" si="43"/>
        <v>1.7798633121927906E-2</v>
      </c>
      <c r="EG108" s="18">
        <f t="shared" si="44"/>
        <v>9.2185350899333315E-2</v>
      </c>
      <c r="EH108" s="18">
        <f t="shared" si="45"/>
        <v>2.286060068535533E-2</v>
      </c>
      <c r="EI108" s="18">
        <f t="shared" si="46"/>
        <v>3.140161846465777E-2</v>
      </c>
      <c r="EJ108" s="18">
        <f t="shared" si="47"/>
        <v>9.0445094377594654E-2</v>
      </c>
      <c r="EK108" s="18">
        <f t="shared" si="48"/>
        <v>-2.0545505424191222E-2</v>
      </c>
      <c r="EL108" s="18">
        <f t="shared" si="49"/>
        <v>-1.7075825992671757E-2</v>
      </c>
      <c r="EM108" s="6">
        <v>1.0415648419680679</v>
      </c>
      <c r="EN108" s="6">
        <v>1.0418771386671013</v>
      </c>
      <c r="EO108" s="6">
        <v>1.0462194852650131</v>
      </c>
      <c r="EP108" s="6">
        <v>1.0382870050059012</v>
      </c>
      <c r="EQ108" s="14">
        <v>241509.09599999999</v>
      </c>
      <c r="ER108" s="22">
        <v>47440.724075189253</v>
      </c>
      <c r="ES108" s="15">
        <v>324609</v>
      </c>
      <c r="ET108" s="15">
        <v>181433</v>
      </c>
      <c r="EU108" s="15">
        <v>7.25</v>
      </c>
      <c r="EV108" s="6">
        <v>118500</v>
      </c>
      <c r="EW108" s="6">
        <v>0.124</v>
      </c>
      <c r="EX108" s="16">
        <v>0.106</v>
      </c>
      <c r="EY108" s="16">
        <v>1.7999999999999999E-2</v>
      </c>
      <c r="EZ108" s="6">
        <v>2.9000000000000001E-2</v>
      </c>
      <c r="FA108" s="6">
        <v>6300</v>
      </c>
      <c r="FB108" s="6">
        <v>9300</v>
      </c>
      <c r="FC108" s="6">
        <v>12600</v>
      </c>
      <c r="GI108" s="21">
        <v>125981.7</v>
      </c>
      <c r="GJ108" s="6">
        <v>0.3209975388084268</v>
      </c>
      <c r="GK108" s="6">
        <v>0.69936457487986503</v>
      </c>
      <c r="GL108" s="21">
        <v>2957918</v>
      </c>
      <c r="GM108" s="21">
        <v>2397400</v>
      </c>
    </row>
    <row r="109" spans="1:195" ht="15">
      <c r="A109" s="12">
        <v>2017</v>
      </c>
      <c r="B109" s="13">
        <v>0.89663012003682618</v>
      </c>
      <c r="C109" s="15">
        <f t="shared" si="27"/>
        <v>82252336.635813951</v>
      </c>
      <c r="D109" s="15">
        <v>12284990.95539115</v>
      </c>
      <c r="E109" s="15">
        <v>2427959.9454928287</v>
      </c>
      <c r="F109" s="15">
        <v>8325747.6946088485</v>
      </c>
      <c r="G109" s="15">
        <v>2455196.5403211201</v>
      </c>
      <c r="H109" s="15">
        <v>1068452.0000000026</v>
      </c>
      <c r="I109" s="15">
        <v>6003659.5</v>
      </c>
      <c r="J109" s="15">
        <v>1785209.0795149147</v>
      </c>
      <c r="K109" s="15">
        <v>4218449.9204850839</v>
      </c>
      <c r="L109" s="15">
        <v>3815288.4999999995</v>
      </c>
      <c r="M109" s="15">
        <v>4569392.5</v>
      </c>
      <c r="N109" s="15">
        <v>-9722137.5</v>
      </c>
      <c r="O109" s="15">
        <v>-2004285</v>
      </c>
      <c r="P109" s="15">
        <v>25824706</v>
      </c>
      <c r="Q109" s="15">
        <v>8102000</v>
      </c>
      <c r="R109" s="15">
        <v>20621931.5</v>
      </c>
      <c r="S109" s="15">
        <v>0.49599401324533726</v>
      </c>
      <c r="T109" s="15">
        <v>-4595784</v>
      </c>
      <c r="U109" s="15">
        <v>1070933.0000000002</v>
      </c>
      <c r="V109" s="15">
        <v>75416.356250000026</v>
      </c>
      <c r="W109" s="15">
        <v>32822.117329540386</v>
      </c>
      <c r="X109" s="15">
        <v>21011.146564191862</v>
      </c>
      <c r="Y109" s="15">
        <v>49064.189928133877</v>
      </c>
      <c r="Z109" s="15">
        <v>49064.189928133877</v>
      </c>
      <c r="AA109" s="15">
        <v>16886614.999999996</v>
      </c>
      <c r="AB109" s="15">
        <v>297156</v>
      </c>
      <c r="AC109" s="15">
        <v>511995.79371971561</v>
      </c>
      <c r="AD109" s="15">
        <v>224741.951044627</v>
      </c>
      <c r="AE109" s="15">
        <v>-16320.886848730961</v>
      </c>
      <c r="AF109" s="15">
        <v>254103</v>
      </c>
      <c r="AG109" s="15">
        <v>281123.99999999994</v>
      </c>
      <c r="AH109" s="15">
        <v>4992331.857915611</v>
      </c>
      <c r="AI109" s="15">
        <v>1253567.9999999998</v>
      </c>
      <c r="AJ109" s="15">
        <v>979185.65549368924</v>
      </c>
      <c r="AK109" s="15">
        <v>274382.34450631082</v>
      </c>
      <c r="AL109" s="15">
        <f t="shared" si="28"/>
        <v>1515679.0284224707</v>
      </c>
      <c r="AM109" s="15">
        <v>834785.45414722909</v>
      </c>
      <c r="AN109" s="15">
        <v>680893.5742752417</v>
      </c>
      <c r="AO109" s="15">
        <v>575620.48271294788</v>
      </c>
      <c r="AP109" s="15">
        <v>552388.98872997053</v>
      </c>
      <c r="AQ109" s="15">
        <v>373896.23739179119</v>
      </c>
      <c r="AR109" s="15">
        <f t="shared" si="25"/>
        <v>178492.75133817934</v>
      </c>
      <c r="AS109" s="15">
        <v>1511045.293854326</v>
      </c>
      <c r="AT109" s="15">
        <v>968100.28685554431</v>
      </c>
      <c r="AU109" s="15">
        <f t="shared" si="29"/>
        <v>542945.0069987817</v>
      </c>
      <c r="AV109" s="15">
        <v>-334006.99999999994</v>
      </c>
      <c r="AW109" s="15">
        <v>-290384</v>
      </c>
      <c r="AX109" s="15">
        <v>11894283.14208439</v>
      </c>
      <c r="AY109" s="15">
        <v>10424372</v>
      </c>
      <c r="AZ109" s="15">
        <v>913716.20628028456</v>
      </c>
      <c r="BA109" s="15">
        <v>255849.4202965447</v>
      </c>
      <c r="BB109" s="15">
        <f t="shared" si="26"/>
        <v>657866.78598373989</v>
      </c>
      <c r="BC109" s="15">
        <v>599749.04895537323</v>
      </c>
      <c r="BD109" s="15">
        <v>-43554.113151269048</v>
      </c>
      <c r="BE109" s="15">
        <f t="shared" si="30"/>
        <v>824491.00000000023</v>
      </c>
      <c r="BF109" s="15">
        <v>8474411</v>
      </c>
      <c r="BG109" s="15">
        <v>1949960.9999999993</v>
      </c>
      <c r="BH109" s="15">
        <v>697841.21219785465</v>
      </c>
      <c r="BI109" s="15">
        <v>118500.78780214534</v>
      </c>
      <c r="BJ109" s="15">
        <v>245966</v>
      </c>
      <c r="BK109" s="15">
        <v>47013</v>
      </c>
      <c r="BL109" s="15">
        <v>41072.395813138639</v>
      </c>
      <c r="BM109" s="15">
        <v>6974.525401630367</v>
      </c>
      <c r="BN109" s="15">
        <v>15256.07878523099</v>
      </c>
      <c r="BO109" s="15">
        <v>15900839.622198192</v>
      </c>
      <c r="BP109" s="15">
        <v>1904817.0283124</v>
      </c>
      <c r="BQ109" s="15">
        <v>1257639.4373227386</v>
      </c>
      <c r="BR109" s="15">
        <v>1997002.0878333333</v>
      </c>
      <c r="BS109" s="15">
        <v>179679.00000000032</v>
      </c>
      <c r="BT109" s="15">
        <v>961530</v>
      </c>
      <c r="BU109" s="15">
        <v>30186</v>
      </c>
      <c r="BV109" s="15">
        <v>56413</v>
      </c>
      <c r="BW109" s="15">
        <v>64254.999999999993</v>
      </c>
      <c r="BX109" s="15">
        <v>17636.000000000015</v>
      </c>
      <c r="BY109" s="15">
        <v>111408</v>
      </c>
      <c r="BZ109" s="15">
        <v>341988</v>
      </c>
      <c r="CA109" s="15">
        <v>20044</v>
      </c>
      <c r="CB109" s="15">
        <v>46729</v>
      </c>
      <c r="CC109" s="15">
        <v>691829</v>
      </c>
      <c r="CD109" s="15">
        <v>573731</v>
      </c>
      <c r="CE109" s="15">
        <v>73.368193210000001</v>
      </c>
      <c r="CF109" s="15">
        <v>118650</v>
      </c>
      <c r="CG109" s="15">
        <v>1384210</v>
      </c>
      <c r="CH109" s="15">
        <v>2715714</v>
      </c>
      <c r="CI109" s="15">
        <v>956221</v>
      </c>
      <c r="CJ109" s="15">
        <v>64367.000000000007</v>
      </c>
      <c r="CK109" s="15">
        <v>264152</v>
      </c>
      <c r="CL109" s="15">
        <v>5032950</v>
      </c>
      <c r="CM109" s="15">
        <v>4553320</v>
      </c>
      <c r="CN109" s="15">
        <v>-571871.99999999965</v>
      </c>
      <c r="CO109" s="15">
        <v>-80314.078785231148</v>
      </c>
      <c r="CP109" s="15">
        <v>-191549.98073570232</v>
      </c>
      <c r="CQ109" s="15">
        <v>604656</v>
      </c>
      <c r="CR109" s="15">
        <v>993415.10709763085</v>
      </c>
      <c r="CS109" s="15">
        <v>526488</v>
      </c>
      <c r="CT109" s="15">
        <v>466927.10709763074</v>
      </c>
      <c r="CU109" s="15">
        <v>722082</v>
      </c>
      <c r="CV109" s="15">
        <v>526654.94990236859</v>
      </c>
      <c r="CW109" s="15">
        <v>1613098</v>
      </c>
      <c r="CX109" s="15">
        <v>435730</v>
      </c>
      <c r="CY109" s="15">
        <v>136911</v>
      </c>
      <c r="CZ109" s="15">
        <v>28318</v>
      </c>
      <c r="DA109" s="19">
        <v>0</v>
      </c>
      <c r="DB109" s="19">
        <v>0</v>
      </c>
      <c r="DC109" s="19">
        <v>0</v>
      </c>
      <c r="DD109" s="23">
        <v>0</v>
      </c>
      <c r="DE109" s="23">
        <f>DE108</f>
        <v>0.20170031302013192</v>
      </c>
      <c r="DF109" s="23">
        <f>DF108</f>
        <v>0.43907289383131459</v>
      </c>
      <c r="DG109" s="23">
        <f>DG108</f>
        <v>0.35922679314855338</v>
      </c>
      <c r="DH109" s="15">
        <v>387528.0787852307</v>
      </c>
      <c r="DI109" s="15">
        <v>16392486.543412961</v>
      </c>
      <c r="DJ109" s="15">
        <v>13676772.543412961</v>
      </c>
      <c r="DK109" s="15">
        <v>16686829.999999998</v>
      </c>
      <c r="DL109" s="18">
        <v>7.1123295771454265E-2</v>
      </c>
      <c r="DM109" s="15">
        <v>10223903.873977244</v>
      </c>
      <c r="DN109" s="15">
        <v>8572491.2027405966</v>
      </c>
      <c r="DO109" s="15">
        <v>1180157.910173913</v>
      </c>
      <c r="DP109" s="15">
        <v>105208.43062518556</v>
      </c>
      <c r="DQ109" s="15">
        <v>280081.36436646787</v>
      </c>
      <c r="DR109" s="15">
        <v>85964.966071078976</v>
      </c>
      <c r="DS109" s="15">
        <v>11067019.403977243</v>
      </c>
      <c r="DT109" s="18">
        <f t="shared" si="31"/>
        <v>0.1957425176463721</v>
      </c>
      <c r="DU109" s="18">
        <f t="shared" si="32"/>
        <v>0.17357994635019544</v>
      </c>
      <c r="DV109" s="18">
        <f t="shared" si="33"/>
        <v>1.3020092118984245E-2</v>
      </c>
      <c r="DW109" s="18">
        <f t="shared" si="34"/>
        <v>-5.5874205985765563E-2</v>
      </c>
      <c r="DX109" s="18">
        <f t="shared" si="35"/>
        <v>5.555334580015342E-2</v>
      </c>
      <c r="DY109" s="18">
        <f t="shared" si="36"/>
        <v>0.31396926891382099</v>
      </c>
      <c r="DZ109" s="18">
        <f t="shared" si="37"/>
        <v>-0.11819892172846588</v>
      </c>
      <c r="EA109" s="18">
        <f t="shared" si="38"/>
        <v>7.2990747078495913E-2</v>
      </c>
      <c r="EB109" s="18">
        <f t="shared" si="39"/>
        <v>0.34921720980620935</v>
      </c>
      <c r="EC109" s="18">
        <f t="shared" si="40"/>
        <v>0.65775155305612987</v>
      </c>
      <c r="ED109" s="18">
        <f t="shared" si="41"/>
        <v>5.7653185605177203E-2</v>
      </c>
      <c r="EE109" s="18">
        <f t="shared" si="42"/>
        <v>5.8680148086466356E-2</v>
      </c>
      <c r="EF109" s="18">
        <f t="shared" si="43"/>
        <v>1.6443047871064237E-2</v>
      </c>
      <c r="EG109" s="18">
        <f t="shared" si="44"/>
        <v>9.0830854537528746E-2</v>
      </c>
      <c r="EH109" s="18">
        <f t="shared" si="45"/>
        <v>2.2522880781607288E-2</v>
      </c>
      <c r="EI109" s="18">
        <f t="shared" si="46"/>
        <v>3.3103290962391931E-2</v>
      </c>
      <c r="EJ109" s="18">
        <f t="shared" si="47"/>
        <v>9.0553166410536109E-2</v>
      </c>
      <c r="EK109" s="18">
        <f t="shared" si="48"/>
        <v>-2.0016204395921812E-2</v>
      </c>
      <c r="EL109" s="18">
        <f t="shared" si="49"/>
        <v>-1.7401987076035415E-2</v>
      </c>
      <c r="EM109" s="6">
        <v>1.0229000000000001</v>
      </c>
      <c r="EN109" s="6">
        <v>1.0230399999999999</v>
      </c>
      <c r="EO109" s="6">
        <v>1.0243979555590246</v>
      </c>
      <c r="EP109" s="6">
        <v>1.02047</v>
      </c>
      <c r="EQ109" s="14">
        <v>243183.84</v>
      </c>
      <c r="ER109" s="22">
        <v>48830.018722359469</v>
      </c>
      <c r="ES109" s="15">
        <v>326860</v>
      </c>
      <c r="ET109" s="15">
        <v>180397</v>
      </c>
      <c r="EU109" s="15">
        <v>7.25</v>
      </c>
      <c r="EV109" s="6">
        <v>127200</v>
      </c>
      <c r="EW109" s="6">
        <v>0.124</v>
      </c>
      <c r="EX109" s="16">
        <v>0.106</v>
      </c>
      <c r="EY109" s="16">
        <v>1.7999999999999999E-2</v>
      </c>
      <c r="EZ109" s="6">
        <v>2.9000000000000001E-2</v>
      </c>
      <c r="FA109" s="6">
        <v>6350</v>
      </c>
      <c r="FB109" s="6">
        <v>9350</v>
      </c>
      <c r="FC109" s="6">
        <v>12700</v>
      </c>
      <c r="GI109" s="21">
        <v>126854.46666666666</v>
      </c>
      <c r="GJ109" s="6">
        <v>0.35149454892011134</v>
      </c>
      <c r="GK109" s="6">
        <v>0.75368166096476541</v>
      </c>
      <c r="GL109" s="21">
        <v>3597554</v>
      </c>
      <c r="GM109" s="21">
        <v>2677600</v>
      </c>
    </row>
    <row r="110" spans="1:195" ht="15">
      <c r="A110" s="6">
        <v>2018</v>
      </c>
      <c r="B110" s="13">
        <v>0.8892285664719829</v>
      </c>
      <c r="C110" s="15">
        <f t="shared" si="27"/>
        <v>86099136.18208997</v>
      </c>
      <c r="D110" s="15">
        <v>12628634.137160724</v>
      </c>
      <c r="E110" s="15">
        <v>2427371.6247945428</v>
      </c>
      <c r="F110" s="15">
        <v>8657235.2628392801</v>
      </c>
      <c r="G110" s="15">
        <v>2643378.1572954184</v>
      </c>
      <c r="H110" s="15">
        <v>1130275.9999999988</v>
      </c>
      <c r="I110" s="15">
        <v>6335498.5</v>
      </c>
      <c r="J110" s="15">
        <v>1803374.9725975886</v>
      </c>
      <c r="K110" s="15">
        <v>4532124.0274024121</v>
      </c>
      <c r="L110" s="15">
        <v>3981716.4999999995</v>
      </c>
      <c r="M110" s="15">
        <v>4816692.9999999991</v>
      </c>
      <c r="N110" s="15">
        <v>-9986981.5</v>
      </c>
      <c r="O110" s="15">
        <v>-2172664.5000000005</v>
      </c>
      <c r="P110" s="15">
        <v>27248690.5</v>
      </c>
      <c r="Q110" s="15">
        <v>8650500</v>
      </c>
      <c r="R110" s="15">
        <v>21318106.5</v>
      </c>
      <c r="S110" s="15">
        <v>0.49163523474223964</v>
      </c>
      <c r="T110" s="15">
        <v>-4837300</v>
      </c>
      <c r="U110" s="15">
        <v>1085317.5</v>
      </c>
      <c r="V110" s="15">
        <v>82444.47500000002</v>
      </c>
      <c r="W110" s="15">
        <v>36832.327683743883</v>
      </c>
      <c r="X110" s="15">
        <v>26366.535714810801</v>
      </c>
      <c r="Y110" s="15">
        <v>63362.330800722659</v>
      </c>
      <c r="Z110" s="15">
        <v>63362.330800722659</v>
      </c>
      <c r="AA110" s="15">
        <v>17854375</v>
      </c>
      <c r="AB110" s="15">
        <v>297423</v>
      </c>
      <c r="AC110" s="15">
        <v>554867.84059750568</v>
      </c>
      <c r="AD110" s="15">
        <v>248634.4664795438</v>
      </c>
      <c r="AE110" s="15">
        <v>-17533.14224659462</v>
      </c>
      <c r="AF110" s="15">
        <v>262920</v>
      </c>
      <c r="AG110" s="15">
        <v>291652</v>
      </c>
      <c r="AH110" s="15">
        <v>5344842.1648304556</v>
      </c>
      <c r="AI110" s="15">
        <v>1298094</v>
      </c>
      <c r="AJ110" s="15">
        <v>1009751.1393273018</v>
      </c>
      <c r="AK110" s="15">
        <v>288342.86067269836</v>
      </c>
      <c r="AL110" s="15">
        <f t="shared" si="28"/>
        <v>1632147.0411040555</v>
      </c>
      <c r="AM110" s="15">
        <v>899595.2047919695</v>
      </c>
      <c r="AN110" s="15">
        <v>732551.83631208609</v>
      </c>
      <c r="AO110" s="15">
        <v>620178.88658662175</v>
      </c>
      <c r="AP110" s="15">
        <v>596692.04568485345</v>
      </c>
      <c r="AQ110" s="15">
        <v>415261.50894867367</v>
      </c>
      <c r="AR110" s="15">
        <f t="shared" si="25"/>
        <v>181430.53673617978</v>
      </c>
      <c r="AS110" s="15">
        <v>1642158.867221975</v>
      </c>
      <c r="AT110" s="15">
        <v>1049543.1539526177</v>
      </c>
      <c r="AU110" s="15">
        <f t="shared" si="29"/>
        <v>592615.71326935734</v>
      </c>
      <c r="AV110" s="15">
        <v>-354203</v>
      </c>
      <c r="AW110" s="15">
        <v>-321327.00000000006</v>
      </c>
      <c r="AX110" s="15">
        <v>12509532.835169546</v>
      </c>
      <c r="AY110" s="15">
        <v>10957404</v>
      </c>
      <c r="AZ110" s="15">
        <v>948620.1594024942</v>
      </c>
      <c r="BA110" s="15">
        <v>280613.03962222522</v>
      </c>
      <c r="BB110" s="15">
        <f t="shared" si="26"/>
        <v>668007.11978026899</v>
      </c>
      <c r="BC110" s="15">
        <v>649295.53352045617</v>
      </c>
      <c r="BD110" s="15">
        <v>-45786.857753405369</v>
      </c>
      <c r="BE110" s="15">
        <f t="shared" si="30"/>
        <v>897930</v>
      </c>
      <c r="BF110" s="15">
        <v>8899824</v>
      </c>
      <c r="BG110" s="15">
        <v>2057580</v>
      </c>
      <c r="BH110" s="15">
        <v>731217.55727020558</v>
      </c>
      <c r="BI110" s="15">
        <v>124168.44272979449</v>
      </c>
      <c r="BJ110" s="15">
        <v>258512.99999999997</v>
      </c>
      <c r="BK110" s="15">
        <v>43089</v>
      </c>
      <c r="BL110" s="15">
        <v>43002.487306242336</v>
      </c>
      <c r="BM110" s="15">
        <v>7302.2752657329202</v>
      </c>
      <c r="BN110" s="15">
        <v>16027.237428024737</v>
      </c>
      <c r="BO110" s="15">
        <v>16792042.527436741</v>
      </c>
      <c r="BP110" s="15">
        <v>1997187.6695048613</v>
      </c>
      <c r="BQ110" s="15">
        <v>1370813.4697250642</v>
      </c>
      <c r="BR110" s="15">
        <v>2126748.666666667</v>
      </c>
      <c r="BS110" s="15">
        <v>178920.00000000006</v>
      </c>
      <c r="BT110" s="15">
        <v>1009618</v>
      </c>
      <c r="BU110" s="15">
        <v>27618</v>
      </c>
      <c r="BV110" s="15">
        <v>56857</v>
      </c>
      <c r="BW110" s="15">
        <v>58190</v>
      </c>
      <c r="BX110" s="15">
        <v>17413.000000000106</v>
      </c>
      <c r="BY110" s="15">
        <v>119705</v>
      </c>
      <c r="BZ110" s="15">
        <v>348848.00000000017</v>
      </c>
      <c r="CA110" s="15">
        <v>19972</v>
      </c>
      <c r="CB110" s="15">
        <v>48098</v>
      </c>
      <c r="CC110" s="15">
        <v>733569</v>
      </c>
      <c r="CD110" s="15">
        <v>589766</v>
      </c>
      <c r="CE110" s="15">
        <v>73.88451518699388</v>
      </c>
      <c r="CF110" s="15">
        <v>119711</v>
      </c>
      <c r="CG110" s="15">
        <v>1443046</v>
      </c>
      <c r="CH110" s="15">
        <v>2859732</v>
      </c>
      <c r="CI110" s="15">
        <v>989044</v>
      </c>
      <c r="CJ110" s="15">
        <v>67296.999999999869</v>
      </c>
      <c r="CK110" s="15">
        <v>352316.99999999994</v>
      </c>
      <c r="CL110" s="15">
        <v>5213870.9999999991</v>
      </c>
      <c r="CM110" s="15">
        <v>4771331</v>
      </c>
      <c r="CN110" s="15">
        <v>-657926.00000000047</v>
      </c>
      <c r="CO110" s="15">
        <v>-88456.237428024702</v>
      </c>
      <c r="CP110" s="15">
        <v>-220024.75973378069</v>
      </c>
      <c r="CQ110" s="15">
        <v>624789</v>
      </c>
      <c r="CR110" s="15">
        <v>1048407.9069328861</v>
      </c>
      <c r="CS110" s="15">
        <v>547626.00000000012</v>
      </c>
      <c r="CT110" s="15">
        <v>500781.90693288611</v>
      </c>
      <c r="CU110" s="15">
        <v>786881</v>
      </c>
      <c r="CV110" s="15">
        <v>589775.44106711459</v>
      </c>
      <c r="CW110" s="15">
        <v>1614291</v>
      </c>
      <c r="CX110" s="15">
        <v>459862</v>
      </c>
      <c r="CY110" s="15">
        <v>148318</v>
      </c>
      <c r="CZ110" s="15">
        <v>28111</v>
      </c>
      <c r="DA110" s="19">
        <v>0</v>
      </c>
      <c r="DB110" s="19">
        <v>0</v>
      </c>
      <c r="DC110" s="19">
        <v>0</v>
      </c>
      <c r="DD110" s="23">
        <v>0</v>
      </c>
      <c r="DE110" s="23">
        <v>0</v>
      </c>
      <c r="DF110" s="23">
        <f>DF109/(DF109+DG109)</f>
        <v>0.55001010396536387</v>
      </c>
      <c r="DG110" s="23">
        <f>DG109/(DG109+DF109)</f>
        <v>0.44998989603463618</v>
      </c>
      <c r="DH110" s="15">
        <v>412902.23742802459</v>
      </c>
      <c r="DI110" s="15">
        <v>17361602.290008713</v>
      </c>
      <c r="DJ110" s="15">
        <v>14501870.290008714</v>
      </c>
      <c r="DK110" s="15">
        <v>17569355</v>
      </c>
      <c r="DL110" s="18">
        <v>9.0273027150758259E-2</v>
      </c>
      <c r="DM110" s="15">
        <v>10776367.108427621</v>
      </c>
      <c r="DN110" s="15">
        <v>9017198.8579501268</v>
      </c>
      <c r="DO110" s="15">
        <v>1215938.028960709</v>
      </c>
      <c r="DP110" s="15">
        <v>128168.91881631676</v>
      </c>
      <c r="DQ110" s="15">
        <v>320037.07431300625</v>
      </c>
      <c r="DR110" s="15">
        <v>95024.228387462892</v>
      </c>
      <c r="DS110" s="15">
        <v>11688190.516427621</v>
      </c>
      <c r="DT110" s="18">
        <f t="shared" si="31"/>
        <v>0.1929212228335451</v>
      </c>
      <c r="DU110" s="18">
        <f t="shared" si="32"/>
        <v>0.17257154605483721</v>
      </c>
      <c r="DV110" s="18">
        <f t="shared" si="33"/>
        <v>1.2605440055805854E-2</v>
      </c>
      <c r="DW110" s="18">
        <f t="shared" si="34"/>
        <v>-5.6182909777046493E-2</v>
      </c>
      <c r="DX110" s="18">
        <f t="shared" si="35"/>
        <v>5.5943569396715388E-2</v>
      </c>
      <c r="DY110" s="18">
        <f t="shared" si="36"/>
        <v>0.3164804167416046</v>
      </c>
      <c r="DZ110" s="18">
        <f t="shared" si="37"/>
        <v>-0.11599398022854329</v>
      </c>
      <c r="EA110" s="18">
        <f t="shared" si="38"/>
        <v>7.3583763797596471E-2</v>
      </c>
      <c r="EB110" s="18">
        <f t="shared" si="39"/>
        <v>0.34807093112548509</v>
      </c>
      <c r="EC110" s="18">
        <f t="shared" si="40"/>
        <v>0.65767733037510856</v>
      </c>
      <c r="ED110" s="18">
        <f t="shared" si="41"/>
        <v>5.6937388999788847E-2</v>
      </c>
      <c r="EE110" s="18">
        <f t="shared" si="42"/>
        <v>5.7472294192205793E-2</v>
      </c>
      <c r="EF110" s="18">
        <f t="shared" si="43"/>
        <v>1.6411693011650023E-2</v>
      </c>
      <c r="EG110" s="18">
        <f t="shared" si="44"/>
        <v>9.2897379619459874E-2</v>
      </c>
      <c r="EH110" s="18">
        <f t="shared" si="45"/>
        <v>1.9076334138994955E-2</v>
      </c>
      <c r="EI110" s="18">
        <f t="shared" si="46"/>
        <v>3.3962091703699619E-2</v>
      </c>
      <c r="EJ110" s="18">
        <f t="shared" si="47"/>
        <v>9.346722558807509E-2</v>
      </c>
      <c r="EK110" s="18">
        <f t="shared" si="48"/>
        <v>-2.0160273385107192E-2</v>
      </c>
      <c r="EL110" s="18">
        <f t="shared" si="49"/>
        <v>-1.8289060696878176E-2</v>
      </c>
      <c r="EM110" s="6">
        <v>1</v>
      </c>
      <c r="EN110" s="6">
        <v>1</v>
      </c>
      <c r="EO110" s="6">
        <v>1</v>
      </c>
      <c r="EP110" s="6">
        <v>1</v>
      </c>
      <c r="EQ110" s="14">
        <v>245609.11799999999</v>
      </c>
      <c r="ER110" s="22">
        <v>50277.490532422882</v>
      </c>
      <c r="ES110" s="15">
        <v>328794</v>
      </c>
      <c r="ET110" s="15">
        <v>182333</v>
      </c>
      <c r="EU110" s="15">
        <v>7.25</v>
      </c>
      <c r="EV110" s="6">
        <v>128400</v>
      </c>
      <c r="EW110" s="6">
        <v>0.124</v>
      </c>
      <c r="EX110" s="16">
        <v>0.106</v>
      </c>
      <c r="EY110" s="16">
        <v>1.7999999999999999E-2</v>
      </c>
      <c r="EZ110" s="6">
        <v>2.9000000000000001E-2</v>
      </c>
      <c r="FA110" s="24">
        <f t="shared" ref="FA110:FC117" si="50">FA109*FA109/FA108</f>
        <v>6400.3968253968251</v>
      </c>
      <c r="FB110" s="24">
        <f t="shared" si="50"/>
        <v>9400.2688172043017</v>
      </c>
      <c r="FC110" s="24">
        <f t="shared" si="50"/>
        <v>12800.79365079365</v>
      </c>
      <c r="GI110" s="21">
        <v>127727.23333333332</v>
      </c>
      <c r="GJ110" s="6">
        <v>0.35287920791165894</v>
      </c>
      <c r="GK110" s="6">
        <v>0.74866237829803606</v>
      </c>
      <c r="GL110" s="21">
        <v>3918097</v>
      </c>
      <c r="GM110" s="21">
        <v>2891700</v>
      </c>
    </row>
    <row r="111" spans="1:195" ht="15">
      <c r="A111" s="12">
        <v>2019</v>
      </c>
      <c r="B111" s="13">
        <v>0.90863803458422343</v>
      </c>
      <c r="C111" s="15">
        <f t="shared" si="27"/>
        <v>91346586.241600111</v>
      </c>
      <c r="D111" s="15">
        <v>13675093.006573996</v>
      </c>
      <c r="E111" s="15">
        <v>2460528.9759580279</v>
      </c>
      <c r="F111" s="15">
        <v>9390964.9934260026</v>
      </c>
      <c r="G111" s="15">
        <v>3010911.7656420814</v>
      </c>
      <c r="H111" s="15">
        <v>1184407.5000000002</v>
      </c>
      <c r="I111" s="15">
        <v>6612420</v>
      </c>
      <c r="J111" s="15">
        <v>1858759.0229724932</v>
      </c>
      <c r="K111" s="15">
        <v>4753661.4770275028</v>
      </c>
      <c r="L111" s="15">
        <v>4343404.5</v>
      </c>
      <c r="M111" s="15">
        <v>5085915.4999999991</v>
      </c>
      <c r="N111" s="15">
        <v>-10256469.000000002</v>
      </c>
      <c r="O111" s="15">
        <v>-2333563.5</v>
      </c>
      <c r="P111" s="15">
        <v>28161344.5</v>
      </c>
      <c r="Q111" s="15">
        <v>9384000</v>
      </c>
      <c r="R111" s="15">
        <v>22351879</v>
      </c>
      <c r="S111" s="15">
        <v>0.48236522774476037</v>
      </c>
      <c r="T111" s="15">
        <v>-5046875</v>
      </c>
      <c r="U111" s="15">
        <v>989060.5</v>
      </c>
      <c r="V111" s="15">
        <v>89472.593750000029</v>
      </c>
      <c r="W111" s="15">
        <v>40633.64860130749</v>
      </c>
      <c r="X111" s="15">
        <v>31727.237768485815</v>
      </c>
      <c r="Y111" s="15">
        <v>77762.259940103322</v>
      </c>
      <c r="Z111" s="15">
        <v>77762.259940103322</v>
      </c>
      <c r="AA111" s="15">
        <v>18611983</v>
      </c>
      <c r="AB111" s="15">
        <v>297195</v>
      </c>
      <c r="AC111" s="15">
        <v>591045.53598115535</v>
      </c>
      <c r="AD111" s="15">
        <v>258620.61703341594</v>
      </c>
      <c r="AE111" s="15">
        <v>-20226.152316658121</v>
      </c>
      <c r="AF111" s="15">
        <v>278945</v>
      </c>
      <c r="AG111" s="15">
        <v>309698</v>
      </c>
      <c r="AH111" s="15">
        <v>5585392.0006979136</v>
      </c>
      <c r="AI111" s="15">
        <v>1367135.0000000002</v>
      </c>
      <c r="AJ111" s="15">
        <v>1051507.5895477813</v>
      </c>
      <c r="AK111" s="15">
        <v>315627.41045221896</v>
      </c>
      <c r="AL111" s="15">
        <f t="shared" si="28"/>
        <v>1735167.7177453779</v>
      </c>
      <c r="AM111" s="15">
        <v>971610.19644661504</v>
      </c>
      <c r="AN111" s="15">
        <v>763557.52129876288</v>
      </c>
      <c r="AO111" s="15">
        <v>633064.17250411748</v>
      </c>
      <c r="AP111" s="15">
        <v>635556.69043941342</v>
      </c>
      <c r="AQ111" s="15">
        <v>460153.2355536609</v>
      </c>
      <c r="AR111" s="15">
        <f t="shared" si="25"/>
        <v>175403.45488575252</v>
      </c>
      <c r="AS111" s="15">
        <v>1698107.9552922484</v>
      </c>
      <c r="AT111" s="15">
        <v>1087647.8357132652</v>
      </c>
      <c r="AU111" s="15">
        <f t="shared" si="29"/>
        <v>610460.11957898317</v>
      </c>
      <c r="AV111" s="15">
        <v>-380832.99999999994</v>
      </c>
      <c r="AW111" s="15">
        <v>-341201</v>
      </c>
      <c r="AX111" s="15">
        <v>13026590.999302087</v>
      </c>
      <c r="AY111" s="15">
        <v>11446611</v>
      </c>
      <c r="AZ111" s="15">
        <v>958482.46401884453</v>
      </c>
      <c r="BA111" s="15">
        <v>317539.11056498339</v>
      </c>
      <c r="BB111" s="15">
        <f t="shared" si="26"/>
        <v>640943.35345386108</v>
      </c>
      <c r="BC111" s="15">
        <v>674227.38296658406</v>
      </c>
      <c r="BD111" s="15">
        <v>-52729.847683341883</v>
      </c>
      <c r="BE111" s="15">
        <f t="shared" si="30"/>
        <v>932848</v>
      </c>
      <c r="BF111" s="15">
        <v>9325143</v>
      </c>
      <c r="BG111" s="15">
        <v>2121468.0000000009</v>
      </c>
      <c r="BH111" s="15">
        <v>767517.45269977988</v>
      </c>
      <c r="BI111" s="15">
        <v>130332.54730021997</v>
      </c>
      <c r="BJ111" s="15">
        <v>271140</v>
      </c>
      <c r="BK111" s="15">
        <v>40718</v>
      </c>
      <c r="BL111" s="15">
        <v>44681.347568505516</v>
      </c>
      <c r="BM111" s="15">
        <v>7587.3634207607947</v>
      </c>
      <c r="BN111" s="15">
        <v>16662.289010733683</v>
      </c>
      <c r="BO111" s="15">
        <v>17483995.931079295</v>
      </c>
      <c r="BP111" s="15">
        <v>2097296.914196338</v>
      </c>
      <c r="BQ111" s="15">
        <v>1422598.8682243682</v>
      </c>
      <c r="BR111" s="15">
        <v>2210907.7134999996</v>
      </c>
      <c r="BS111" s="15">
        <v>181000.99999999974</v>
      </c>
      <c r="BT111" s="15">
        <v>1070051</v>
      </c>
      <c r="BU111" s="15">
        <v>27477</v>
      </c>
      <c r="BV111" s="15">
        <v>57716</v>
      </c>
      <c r="BW111" s="15">
        <v>54712</v>
      </c>
      <c r="BX111" s="15">
        <v>17771.999999999876</v>
      </c>
      <c r="BY111" s="15">
        <v>129833</v>
      </c>
      <c r="BZ111" s="15">
        <v>357704.99999999983</v>
      </c>
      <c r="CA111" s="15">
        <v>20101</v>
      </c>
      <c r="CB111" s="15">
        <v>49736.000000000007</v>
      </c>
      <c r="CC111" s="15">
        <v>790499</v>
      </c>
      <c r="CD111" s="15">
        <v>614035</v>
      </c>
      <c r="CE111" s="15">
        <v>73.87</v>
      </c>
      <c r="CF111" s="15">
        <v>125241</v>
      </c>
      <c r="CG111" s="15">
        <v>1529775</v>
      </c>
      <c r="CH111" s="15">
        <v>3012056</v>
      </c>
      <c r="CI111" s="15">
        <v>1041725.5583614131</v>
      </c>
      <c r="CJ111" s="15">
        <v>69520.000000000015</v>
      </c>
      <c r="CK111" s="15">
        <v>395691.00000000006</v>
      </c>
      <c r="CL111" s="15">
        <v>5463576</v>
      </c>
      <c r="CM111" s="15">
        <v>5029369</v>
      </c>
      <c r="CN111" s="15">
        <v>-736180.9999999993</v>
      </c>
      <c r="CO111" s="15">
        <v>-106691.28901073376</v>
      </c>
      <c r="CP111" s="15">
        <v>-187920.51029292814</v>
      </c>
      <c r="CQ111" s="15">
        <v>650639</v>
      </c>
      <c r="CR111" s="15">
        <v>1106460.2032070719</v>
      </c>
      <c r="CS111" s="15">
        <v>572776.99999999988</v>
      </c>
      <c r="CT111" s="15">
        <v>533683.20320707187</v>
      </c>
      <c r="CU111" s="15">
        <v>801727</v>
      </c>
      <c r="CV111" s="15">
        <v>614713.75079293002</v>
      </c>
      <c r="CW111" s="15">
        <v>1701123</v>
      </c>
      <c r="CX111" s="15">
        <v>497539</v>
      </c>
      <c r="CY111" s="15">
        <v>157668</v>
      </c>
      <c r="CZ111" s="15">
        <v>21448</v>
      </c>
      <c r="DA111" s="19">
        <v>0</v>
      </c>
      <c r="DB111" s="19">
        <v>0</v>
      </c>
      <c r="DC111" s="19">
        <v>0</v>
      </c>
      <c r="DD111" s="23">
        <v>0</v>
      </c>
      <c r="DE111" s="23">
        <v>0</v>
      </c>
      <c r="DF111" s="23">
        <f>DF110/(DF110+DG110)</f>
        <v>0.55001010396536387</v>
      </c>
      <c r="DG111" s="23">
        <f>DG110/(DG110+DF110)</f>
        <v>0.44998989603463618</v>
      </c>
      <c r="DH111" s="15">
        <v>433943.28901073372</v>
      </c>
      <c r="DI111" s="15">
        <v>18113581.642068557</v>
      </c>
      <c r="DJ111" s="15">
        <v>15101525.642068557</v>
      </c>
      <c r="DK111" s="15">
        <v>18285812</v>
      </c>
      <c r="DL111" s="18">
        <v>0.12831430430327634</v>
      </c>
      <c r="DM111" s="15">
        <v>11095609.179501588</v>
      </c>
      <c r="DN111" s="15">
        <v>9343631.227309484</v>
      </c>
      <c r="DO111" s="15">
        <v>1176923.3276336626</v>
      </c>
      <c r="DP111" s="15">
        <v>151981.93685261146</v>
      </c>
      <c r="DQ111" s="15">
        <v>329037.78177797195</v>
      </c>
      <c r="DR111" s="15">
        <v>94034.905927857573</v>
      </c>
      <c r="DS111" s="15">
        <v>11949095.721501587</v>
      </c>
      <c r="DT111" s="18">
        <f t="shared" si="31"/>
        <v>0.19725419687734538</v>
      </c>
      <c r="DU111" s="18">
        <f t="shared" si="32"/>
        <v>0.17566954491965719</v>
      </c>
      <c r="DV111" s="18">
        <f t="shared" si="33"/>
        <v>1.0827558430963809E-2</v>
      </c>
      <c r="DW111" s="18">
        <f t="shared" si="34"/>
        <v>-5.5249738470265951E-2</v>
      </c>
      <c r="DX111" s="18">
        <f t="shared" si="35"/>
        <v>5.5677127184024143E-2</v>
      </c>
      <c r="DY111" s="18">
        <f t="shared" si="36"/>
        <v>0.30829115414906499</v>
      </c>
      <c r="DZ111" s="18">
        <f t="shared" si="37"/>
        <v>-0.11228081335051696</v>
      </c>
      <c r="EA111" s="18">
        <f t="shared" si="38"/>
        <v>7.2388255238252583E-2</v>
      </c>
      <c r="EB111" s="18">
        <f t="shared" si="39"/>
        <v>0.34742271502147476</v>
      </c>
      <c r="EC111" s="18">
        <f t="shared" si="40"/>
        <v>0.66000591308999024</v>
      </c>
      <c r="ED111" s="18">
        <f t="shared" si="41"/>
        <v>5.5265623497251823E-2</v>
      </c>
      <c r="EE111" s="18">
        <f t="shared" si="42"/>
        <v>5.7504014016319389E-2</v>
      </c>
      <c r="EF111" s="18">
        <f t="shared" si="43"/>
        <v>1.7260781771803131E-2</v>
      </c>
      <c r="EG111" s="18">
        <f t="shared" si="44"/>
        <v>9.4891477487867526E-2</v>
      </c>
      <c r="EH111" s="18">
        <f t="shared" si="45"/>
        <v>1.6783130686464316E-2</v>
      </c>
      <c r="EI111" s="18">
        <f t="shared" si="46"/>
        <v>3.4756820776644395E-2</v>
      </c>
      <c r="EJ111" s="18">
        <f t="shared" si="47"/>
        <v>9.2864782558863032E-2</v>
      </c>
      <c r="EK111" s="18">
        <f t="shared" si="48"/>
        <v>-2.0826693394857168E-2</v>
      </c>
      <c r="EL111" s="18">
        <f t="shared" si="49"/>
        <v>-1.8659329976705438E-2</v>
      </c>
      <c r="EM111" s="6">
        <v>0.98373741356594002</v>
      </c>
      <c r="EN111" s="6">
        <v>0.98336136877012548</v>
      </c>
      <c r="EO111" s="6">
        <v>0.98217369001599231</v>
      </c>
      <c r="EP111" s="6">
        <v>0.98587562434184461</v>
      </c>
      <c r="EQ111" s="14">
        <v>247884.75</v>
      </c>
      <c r="ER111" s="22">
        <v>51800.923218070668</v>
      </c>
      <c r="ES111" s="15">
        <v>330513</v>
      </c>
      <c r="ET111" s="15">
        <v>182857</v>
      </c>
      <c r="EU111" s="15">
        <v>7.25</v>
      </c>
      <c r="EV111" s="6">
        <v>132900</v>
      </c>
      <c r="EW111" s="6">
        <v>0.124</v>
      </c>
      <c r="EX111" s="16">
        <v>0.106</v>
      </c>
      <c r="EY111" s="16">
        <v>1.7999999999999999E-2</v>
      </c>
      <c r="EZ111" s="6">
        <v>2.9000000000000001E-2</v>
      </c>
      <c r="FA111" s="24">
        <f t="shared" si="50"/>
        <v>6451.1936255983865</v>
      </c>
      <c r="FB111" s="24">
        <f t="shared" si="50"/>
        <v>9450.8078968666923</v>
      </c>
      <c r="FC111" s="24">
        <f t="shared" si="50"/>
        <v>12902.387251196773</v>
      </c>
      <c r="GI111" s="21">
        <v>128600</v>
      </c>
      <c r="GJ111" s="6">
        <v>0.37746299675792694</v>
      </c>
      <c r="GK111" s="6">
        <v>0.75077775283375858</v>
      </c>
      <c r="GL111" s="21">
        <v>3967866</v>
      </c>
      <c r="GM111" s="21">
        <v>2955300</v>
      </c>
    </row>
    <row r="112" spans="1:195" ht="15">
      <c r="A112" s="6">
        <v>2020</v>
      </c>
      <c r="B112" s="13">
        <v>0.9400472086066769</v>
      </c>
      <c r="C112" s="15">
        <f t="shared" si="27"/>
        <v>104243624.46717237</v>
      </c>
      <c r="D112" s="15">
        <v>17228610.833329316</v>
      </c>
      <c r="E112" s="15">
        <v>2538991.4502247334</v>
      </c>
      <c r="F112" s="15">
        <v>9263743.3166706841</v>
      </c>
      <c r="G112" s="15">
        <v>3514501.866947636</v>
      </c>
      <c r="H112" s="15">
        <v>1231114.4999999979</v>
      </c>
      <c r="I112" s="15">
        <v>7046009</v>
      </c>
      <c r="J112" s="15">
        <v>1940981.9237707811</v>
      </c>
      <c r="K112" s="15">
        <v>5105027.0762292184</v>
      </c>
      <c r="L112" s="15">
        <v>5290831.5</v>
      </c>
      <c r="M112" s="15">
        <v>5498548.4999999991</v>
      </c>
      <c r="N112" s="15">
        <v>-10587257.5</v>
      </c>
      <c r="O112" s="15">
        <v>-2536787</v>
      </c>
      <c r="P112" s="15">
        <v>30429496</v>
      </c>
      <c r="Q112" s="15">
        <v>11085000</v>
      </c>
      <c r="R112" s="15">
        <v>24974694</v>
      </c>
      <c r="S112" s="15">
        <v>0.49187051616367267</v>
      </c>
      <c r="T112" s="15">
        <v>-5213804.5</v>
      </c>
      <c r="U112" s="15">
        <v>1943145.5</v>
      </c>
      <c r="V112" s="15">
        <v>96500.712500000038</v>
      </c>
      <c r="W112" s="15">
        <v>44305.824021405133</v>
      </c>
      <c r="X112" s="15">
        <v>37091.224514384638</v>
      </c>
      <c r="Y112" s="15">
        <v>92225.119482105132</v>
      </c>
      <c r="Z112" s="15">
        <v>92225.119482105132</v>
      </c>
      <c r="AA112" s="15">
        <v>18094778</v>
      </c>
      <c r="AB112" s="15">
        <v>311059</v>
      </c>
      <c r="AC112" s="15">
        <v>611369.17237066757</v>
      </c>
      <c r="AD112" s="15">
        <v>248455.88126487521</v>
      </c>
      <c r="AE112" s="15">
        <v>-190479.51542146763</v>
      </c>
      <c r="AF112" s="15">
        <v>287480</v>
      </c>
      <c r="AG112" s="15">
        <v>319611</v>
      </c>
      <c r="AH112" s="15">
        <v>5375899.5382140744</v>
      </c>
      <c r="AI112" s="15">
        <v>1429925</v>
      </c>
      <c r="AJ112" s="15">
        <v>1106761.4117966292</v>
      </c>
      <c r="AK112" s="15">
        <v>323163.5882033711</v>
      </c>
      <c r="AL112" s="15">
        <f t="shared" si="28"/>
        <v>1737023.3260545575</v>
      </c>
      <c r="AM112" s="15">
        <v>963072.66175497114</v>
      </c>
      <c r="AN112" s="15">
        <v>773950.66429958632</v>
      </c>
      <c r="AO112" s="15">
        <v>584263.0797677727</v>
      </c>
      <c r="AP112" s="15">
        <v>657361.09205359337</v>
      </c>
      <c r="AQ112" s="15">
        <v>486489.90500909125</v>
      </c>
      <c r="AR112" s="15">
        <f t="shared" si="25"/>
        <v>170871.18704450212</v>
      </c>
      <c r="AS112" s="15">
        <v>1570413.6744947436</v>
      </c>
      <c r="AT112" s="15">
        <v>991474.66585595161</v>
      </c>
      <c r="AU112" s="15">
        <f t="shared" si="29"/>
        <v>578939.00863879197</v>
      </c>
      <c r="AV112" s="15">
        <v>-373411</v>
      </c>
      <c r="AW112" s="15">
        <v>-287652</v>
      </c>
      <c r="AX112" s="15">
        <v>12718878.461785926</v>
      </c>
      <c r="AY112" s="15">
        <v>11598138</v>
      </c>
      <c r="AZ112" s="15">
        <v>966111.8276293322</v>
      </c>
      <c r="BA112" s="15">
        <v>344986.27804210433</v>
      </c>
      <c r="BB112" s="15">
        <f t="shared" si="26"/>
        <v>621125.54958722787</v>
      </c>
      <c r="BC112" s="15">
        <v>662656.11873512482</v>
      </c>
      <c r="BD112" s="15">
        <v>-508027.4845785324</v>
      </c>
      <c r="BE112" s="15">
        <f t="shared" si="30"/>
        <v>911112</v>
      </c>
      <c r="BF112" s="15">
        <v>9465343</v>
      </c>
      <c r="BG112" s="15">
        <v>2132795</v>
      </c>
      <c r="BH112" s="15">
        <v>773815.90855709696</v>
      </c>
      <c r="BI112" s="15">
        <v>131402.0914429031</v>
      </c>
      <c r="BJ112" s="15">
        <v>276861</v>
      </c>
      <c r="BK112" s="15">
        <v>44950</v>
      </c>
      <c r="BL112" s="15">
        <v>45305.34295258046</v>
      </c>
      <c r="BM112" s="15">
        <v>7693.3244091708884</v>
      </c>
      <c r="BN112" s="15">
        <v>17157.332638248659</v>
      </c>
      <c r="BO112" s="15">
        <v>17563189.316538054</v>
      </c>
      <c r="BP112" s="15">
        <v>2148251.3987356606</v>
      </c>
      <c r="BQ112" s="15">
        <v>1327569.3277262847</v>
      </c>
      <c r="BR112" s="15">
        <v>2263482.0430000001</v>
      </c>
      <c r="BS112" s="15">
        <v>680750</v>
      </c>
      <c r="BT112" s="15">
        <v>1119374</v>
      </c>
      <c r="BU112" s="15">
        <v>527988</v>
      </c>
      <c r="BV112" s="15">
        <v>57931.999999999993</v>
      </c>
      <c r="BW112" s="15">
        <v>94946</v>
      </c>
      <c r="BX112" s="15">
        <v>27233.000000000109</v>
      </c>
      <c r="BY112" s="15">
        <v>144851</v>
      </c>
      <c r="BZ112" s="15">
        <v>684467.00000000012</v>
      </c>
      <c r="CA112" s="15">
        <v>20540</v>
      </c>
      <c r="CB112" s="15">
        <v>53160.000000000007</v>
      </c>
      <c r="CC112" s="15">
        <v>827397</v>
      </c>
      <c r="CD112" s="15">
        <v>657580</v>
      </c>
      <c r="CE112" s="15">
        <v>75.271000000000001</v>
      </c>
      <c r="CF112" s="15">
        <v>259930.99999999997</v>
      </c>
      <c r="CG112" s="15">
        <v>1744908.0000000002</v>
      </c>
      <c r="CH112" s="15">
        <v>3180108</v>
      </c>
      <c r="CI112" s="15">
        <v>1099846.6768046799</v>
      </c>
      <c r="CJ112" s="15">
        <v>70654.000000000146</v>
      </c>
      <c r="CK112" s="15">
        <v>323587</v>
      </c>
      <c r="CL112" s="15">
        <v>5552354</v>
      </c>
      <c r="CM112" s="15">
        <v>5754334.0000000009</v>
      </c>
      <c r="CN112" s="15">
        <v>-2547752.9999999986</v>
      </c>
      <c r="CO112" s="15">
        <v>-644195.33263824868</v>
      </c>
      <c r="CP112" s="15">
        <v>-151785.31162609078</v>
      </c>
      <c r="CQ112" s="15">
        <v>658808</v>
      </c>
      <c r="CR112" s="15">
        <v>1145084.7313739094</v>
      </c>
      <c r="CS112" s="15">
        <v>588019</v>
      </c>
      <c r="CT112" s="15">
        <v>557065.7313739094</v>
      </c>
      <c r="CU112" s="15">
        <v>796612</v>
      </c>
      <c r="CV112" s="15">
        <v>581137.73362609139</v>
      </c>
      <c r="CW112" s="15">
        <v>1740940</v>
      </c>
      <c r="CX112" s="15">
        <v>507282</v>
      </c>
      <c r="CY112" s="15">
        <v>430656</v>
      </c>
      <c r="CZ112" s="15">
        <v>25295</v>
      </c>
      <c r="DA112" s="19">
        <v>0</v>
      </c>
      <c r="DB112" s="19">
        <v>0</v>
      </c>
      <c r="DC112" s="19">
        <v>0</v>
      </c>
      <c r="DD112" s="23">
        <v>0</v>
      </c>
      <c r="DE112" s="23">
        <v>0</v>
      </c>
      <c r="DF112" s="23">
        <f>DF111/(DF111+DG111)</f>
        <v>0.55001010396536387</v>
      </c>
      <c r="DG112" s="23">
        <f>DG111/(DG111+DF111)</f>
        <v>0.44998989603463618</v>
      </c>
      <c r="DH112" s="15">
        <v>446408.33263824874</v>
      </c>
      <c r="DI112" s="15">
        <v>19466842.983899806</v>
      </c>
      <c r="DJ112" s="15">
        <v>16286734.983899804</v>
      </c>
      <c r="DK112" s="15">
        <v>17841844.999999996</v>
      </c>
      <c r="DL112" s="18">
        <v>0.17005608166540506</v>
      </c>
      <c r="DM112" s="15">
        <v>10969958.046469826</v>
      </c>
      <c r="DN112" s="15">
        <v>9328866.1538080033</v>
      </c>
      <c r="DO112" s="15">
        <v>1111962.2718539888</v>
      </c>
      <c r="DP112" s="15">
        <v>124420.12583812351</v>
      </c>
      <c r="DQ112" s="15">
        <v>320268.12758720934</v>
      </c>
      <c r="DR112" s="15">
        <v>84441.367382502183</v>
      </c>
      <c r="DS112" s="15">
        <v>12087667.588469828</v>
      </c>
      <c r="DT112" s="18">
        <f t="shared" si="31"/>
        <v>0.21602704672285231</v>
      </c>
      <c r="DU112" s="18">
        <f t="shared" si="32"/>
        <v>0.15874688949494783</v>
      </c>
      <c r="DV112" s="18">
        <f t="shared" si="33"/>
        <v>1.8640425349100567E-2</v>
      </c>
      <c r="DW112" s="18">
        <f t="shared" si="34"/>
        <v>-5.0015571951279307E-2</v>
      </c>
      <c r="DX112" s="18">
        <f t="shared" si="35"/>
        <v>5.2747096315051492E-2</v>
      </c>
      <c r="DY112" s="18">
        <f t="shared" si="36"/>
        <v>0.29190750183079667</v>
      </c>
      <c r="DZ112" s="18">
        <f t="shared" si="37"/>
        <v>-0.10156263804252183</v>
      </c>
      <c r="EA112" s="18">
        <f t="shared" si="38"/>
        <v>6.7591749960870529E-2</v>
      </c>
      <c r="EB112" s="18">
        <f t="shared" si="39"/>
        <v>0.3459175003201817</v>
      </c>
      <c r="EC112" s="18">
        <f t="shared" si="40"/>
        <v>0.6843372996983873</v>
      </c>
      <c r="ED112" s="18">
        <f t="shared" si="41"/>
        <v>5.7004526013273084E-2</v>
      </c>
      <c r="EE112" s="18">
        <f t="shared" si="42"/>
        <v>6.203178044628397E-2</v>
      </c>
      <c r="EF112" s="18">
        <f t="shared" si="43"/>
        <v>1.8112677708127783E-2</v>
      </c>
      <c r="EG112" s="18">
        <f t="shared" si="44"/>
        <v>9.7356709805211161E-2</v>
      </c>
      <c r="EH112" s="18">
        <f t="shared" si="45"/>
        <v>1.8570393351571707E-2</v>
      </c>
      <c r="EI112" s="18">
        <f t="shared" si="46"/>
        <v>3.6843784488296671E-2</v>
      </c>
      <c r="EJ112" s="18">
        <f t="shared" si="47"/>
        <v>8.801856951984191E-2</v>
      </c>
      <c r="EK112" s="18">
        <f t="shared" si="48"/>
        <v>-2.0928945408952945E-2</v>
      </c>
      <c r="EL112" s="18">
        <f t="shared" si="49"/>
        <v>-1.612232367224354E-2</v>
      </c>
      <c r="EM112" s="6">
        <v>0.97051177441697201</v>
      </c>
      <c r="EN112" s="6">
        <v>0.9697429286418443</v>
      </c>
      <c r="EO112" s="6">
        <v>0.9702055221733662</v>
      </c>
      <c r="EP112" s="6">
        <v>0.97497754762769184</v>
      </c>
      <c r="EQ112" s="14">
        <v>249456.38382763276</v>
      </c>
      <c r="ER112" s="22">
        <v>53333.032594758217</v>
      </c>
      <c r="ES112" s="15">
        <v>331840</v>
      </c>
      <c r="ET112" s="15">
        <v>181894</v>
      </c>
      <c r="EU112" s="15">
        <v>7.25</v>
      </c>
      <c r="EV112" s="6">
        <v>137700</v>
      </c>
      <c r="EW112" s="6">
        <v>0.124</v>
      </c>
      <c r="EX112" s="16">
        <v>0.106</v>
      </c>
      <c r="EY112" s="16">
        <v>1.7999999999999999E-2</v>
      </c>
      <c r="EZ112" s="6">
        <v>2.9000000000000001E-2</v>
      </c>
      <c r="FA112" s="24">
        <f t="shared" si="50"/>
        <v>6502.3935750078972</v>
      </c>
      <c r="FB112" s="24">
        <f t="shared" si="50"/>
        <v>9501.6186920111395</v>
      </c>
      <c r="FC112" s="24">
        <f t="shared" si="50"/>
        <v>13004.787150015794</v>
      </c>
      <c r="GI112" s="21">
        <v>129500</v>
      </c>
      <c r="GJ112" s="6">
        <v>0.38845767552811855</v>
      </c>
      <c r="GK112" s="6">
        <v>0.83350790916860351</v>
      </c>
      <c r="GL112" s="21">
        <v>4167141</v>
      </c>
      <c r="GM112" s="21">
        <v>3200000</v>
      </c>
    </row>
    <row r="113" spans="1:195" ht="15">
      <c r="A113" s="12">
        <v>2021</v>
      </c>
      <c r="B113" s="13">
        <v>0.91319353025347505</v>
      </c>
      <c r="C113" s="15">
        <f t="shared" si="27"/>
        <v>121243111.95814255</v>
      </c>
      <c r="D113" s="15">
        <v>21597251.157507706</v>
      </c>
      <c r="E113" s="15">
        <v>2532001.895982503</v>
      </c>
      <c r="F113" s="15">
        <v>8652098.7924922947</v>
      </c>
      <c r="G113" s="15">
        <v>3869895.6121600312</v>
      </c>
      <c r="H113" s="15">
        <v>1265014.9999999986</v>
      </c>
      <c r="I113" s="15">
        <v>7750023.5</v>
      </c>
      <c r="J113" s="15">
        <v>2081244.4134251545</v>
      </c>
      <c r="K113" s="15">
        <v>5668779.0865748478</v>
      </c>
      <c r="L113" s="15">
        <v>6595553</v>
      </c>
      <c r="M113" s="15">
        <v>6454018.5</v>
      </c>
      <c r="N113" s="15">
        <v>-11298842.499999998</v>
      </c>
      <c r="O113" s="15">
        <v>-2777400</v>
      </c>
      <c r="P113" s="15">
        <v>35737552.500000007</v>
      </c>
      <c r="Q113" s="15">
        <v>12840000</v>
      </c>
      <c r="R113" s="15">
        <v>27407936.999999996</v>
      </c>
      <c r="S113" s="15">
        <v>0.50413594707188258</v>
      </c>
      <c r="T113" s="15">
        <v>-5537467.0000000009</v>
      </c>
      <c r="U113" s="15">
        <v>3378074.5000000005</v>
      </c>
      <c r="V113" s="15">
        <v>103528.83125000003</v>
      </c>
      <c r="W113" s="15">
        <v>47892.590037406007</v>
      </c>
      <c r="X113" s="15">
        <v>42457.38356679806</v>
      </c>
      <c r="Y113" s="15">
        <v>106729.597572898</v>
      </c>
      <c r="Z113" s="15">
        <v>106729.597572898</v>
      </c>
      <c r="AA113" s="15">
        <v>20290368</v>
      </c>
      <c r="AB113" s="15">
        <v>468876</v>
      </c>
      <c r="AC113" s="15">
        <v>715050.56210220919</v>
      </c>
      <c r="AD113" s="15">
        <v>303373.16646247689</v>
      </c>
      <c r="AE113" s="15">
        <v>-180941.43788602139</v>
      </c>
      <c r="AF113" s="15">
        <v>302663</v>
      </c>
      <c r="AG113" s="15">
        <v>336797.99999999994</v>
      </c>
      <c r="AH113" s="15">
        <v>6318790.290678665</v>
      </c>
      <c r="AI113" s="15">
        <v>1459661.9999999998</v>
      </c>
      <c r="AJ113" s="15">
        <v>1135368.2220779792</v>
      </c>
      <c r="AK113" s="15">
        <v>324293.7779220207</v>
      </c>
      <c r="AL113" s="15">
        <f t="shared" si="28"/>
        <v>2248896.6532363361</v>
      </c>
      <c r="AM113" s="15">
        <v>1252072.7027471054</v>
      </c>
      <c r="AN113" s="15">
        <v>996823.95048923057</v>
      </c>
      <c r="AO113" s="15">
        <v>588861.14783672232</v>
      </c>
      <c r="AP113" s="15">
        <v>763977.61182446592</v>
      </c>
      <c r="AQ113" s="15">
        <v>568564.60356769117</v>
      </c>
      <c r="AR113" s="15">
        <f t="shared" si="25"/>
        <v>195413.00825677474</v>
      </c>
      <c r="AS113" s="15">
        <v>1772958.1492046851</v>
      </c>
      <c r="AT113" s="15">
        <v>1176311.5428445656</v>
      </c>
      <c r="AU113" s="15">
        <f t="shared" si="29"/>
        <v>596646.60636011953</v>
      </c>
      <c r="AV113" s="15">
        <v>-359541</v>
      </c>
      <c r="AW113" s="15">
        <v>-278456</v>
      </c>
      <c r="AX113" s="15">
        <v>13971577.709321337</v>
      </c>
      <c r="AY113" s="15">
        <v>12558374</v>
      </c>
      <c r="AZ113" s="15">
        <v>1112012.4378977907</v>
      </c>
      <c r="BA113" s="15">
        <v>396405.95249431825</v>
      </c>
      <c r="BB113" s="15">
        <f t="shared" si="26"/>
        <v>715606.48540347244</v>
      </c>
      <c r="BC113" s="15">
        <v>746320.83353752317</v>
      </c>
      <c r="BD113" s="15">
        <v>-445129.56211397861</v>
      </c>
      <c r="BE113" s="15">
        <f t="shared" si="30"/>
        <v>1049694</v>
      </c>
      <c r="BF113" s="15">
        <v>10314974</v>
      </c>
      <c r="BG113" s="15">
        <v>2243399.9999999995</v>
      </c>
      <c r="BH113" s="15">
        <v>834691.57861235039</v>
      </c>
      <c r="BI113" s="15">
        <v>141739.42138764949</v>
      </c>
      <c r="BJ113" s="15">
        <v>304563.99999999994</v>
      </c>
      <c r="BK113" s="15">
        <v>45628</v>
      </c>
      <c r="BL113" s="15">
        <v>46537.13977466496</v>
      </c>
      <c r="BM113" s="15">
        <v>7902.4964833874028</v>
      </c>
      <c r="BN113" s="15">
        <v>18036.363741947644</v>
      </c>
      <c r="BO113" s="15">
        <v>19404286.248860803</v>
      </c>
      <c r="BP113" s="15">
        <v>2325923.0659871688</v>
      </c>
      <c r="BQ113" s="15">
        <v>1510684.6184853637</v>
      </c>
      <c r="BR113" s="15">
        <v>2485834.9333333336</v>
      </c>
      <c r="BS113" s="15">
        <v>464691.00000000023</v>
      </c>
      <c r="BT113" s="15">
        <v>1158115</v>
      </c>
      <c r="BU113" s="15">
        <v>314920</v>
      </c>
      <c r="BV113" s="15">
        <v>56920</v>
      </c>
      <c r="BW113" s="15">
        <v>151169</v>
      </c>
      <c r="BX113" s="15">
        <v>25266.999999999898</v>
      </c>
      <c r="BY113" s="15">
        <v>152617</v>
      </c>
      <c r="BZ113" s="15">
        <v>1168695</v>
      </c>
      <c r="CA113" s="15">
        <v>20666</v>
      </c>
      <c r="CB113" s="15">
        <v>58090</v>
      </c>
      <c r="CC113" s="15">
        <v>886270</v>
      </c>
      <c r="CD113" s="15">
        <v>736482</v>
      </c>
      <c r="CE113" s="15">
        <v>86.276994499999986</v>
      </c>
      <c r="CF113" s="15">
        <v>182142</v>
      </c>
      <c r="CG113" s="15">
        <v>1804894</v>
      </c>
      <c r="CH113" s="15">
        <v>3376390</v>
      </c>
      <c r="CI113" s="15">
        <v>1230793.5392581569</v>
      </c>
      <c r="CJ113" s="15">
        <v>69958.999999999985</v>
      </c>
      <c r="CK113" s="15">
        <v>394193.00000000012</v>
      </c>
      <c r="CL113" s="15">
        <v>6449682.0000000009</v>
      </c>
      <c r="CM113" s="15">
        <v>6502596</v>
      </c>
      <c r="CN113" s="15">
        <v>-2151923</v>
      </c>
      <c r="CO113" s="15">
        <v>-396536.36374194775</v>
      </c>
      <c r="CP113" s="15">
        <v>-228066.50360421714</v>
      </c>
      <c r="CQ113" s="15">
        <v>706923</v>
      </c>
      <c r="CR113" s="15">
        <v>1249424.4297291164</v>
      </c>
      <c r="CS113" s="15">
        <v>622397</v>
      </c>
      <c r="CT113" s="15">
        <v>627027.42972911615</v>
      </c>
      <c r="CU113" s="15">
        <v>823130</v>
      </c>
      <c r="CV113" s="15">
        <v>756543.62927088409</v>
      </c>
      <c r="CW113" s="15">
        <v>2127623</v>
      </c>
      <c r="CX113" s="15">
        <v>570383</v>
      </c>
      <c r="CY113" s="15">
        <v>856583</v>
      </c>
      <c r="CZ113" s="15">
        <v>34344</v>
      </c>
      <c r="DA113" s="19">
        <v>0</v>
      </c>
      <c r="DB113" s="19">
        <v>0</v>
      </c>
      <c r="DC113" s="19">
        <v>0</v>
      </c>
      <c r="DD113" s="23">
        <v>0</v>
      </c>
      <c r="DE113" s="23">
        <v>0</v>
      </c>
      <c r="DF113" s="23">
        <f>DF112/(DF112+DG112)</f>
        <v>0.55001010396536387</v>
      </c>
      <c r="DG113" s="23">
        <f>DG112/(DG112+DF112)</f>
        <v>0.44998989603463618</v>
      </c>
      <c r="DH113" s="15">
        <v>482802.36374194757</v>
      </c>
      <c r="DI113" s="15">
        <v>21159769.88511885</v>
      </c>
      <c r="DJ113" s="15">
        <v>17783379.88511885</v>
      </c>
      <c r="DK113" s="15">
        <v>19966134</v>
      </c>
      <c r="DL113" s="18">
        <v>0.11135690042838323</v>
      </c>
      <c r="DM113" s="15">
        <v>12516029.366273073</v>
      </c>
      <c r="DN113" s="15">
        <v>10351122.885281706</v>
      </c>
      <c r="DO113" s="15">
        <v>1560474.0140143149</v>
      </c>
      <c r="DP113" s="15">
        <v>103886.69223217299</v>
      </c>
      <c r="DQ113" s="15">
        <v>388275.14738749305</v>
      </c>
      <c r="DR113" s="15">
        <v>112270.62735738531</v>
      </c>
      <c r="DS113" s="15">
        <v>14548582.832273072</v>
      </c>
      <c r="DT113" s="18">
        <f t="shared" si="31"/>
        <v>0.2325311822022588</v>
      </c>
      <c r="DU113" s="18">
        <f t="shared" si="32"/>
        <v>0.13459743021334467</v>
      </c>
      <c r="DV113" s="18">
        <f t="shared" si="33"/>
        <v>2.7861991047922231E-2</v>
      </c>
      <c r="DW113" s="18">
        <f t="shared" si="34"/>
        <v>-4.5672425514050909E-2</v>
      </c>
      <c r="DX113" s="18">
        <f t="shared" si="35"/>
        <v>5.323204259412409E-2</v>
      </c>
      <c r="DY113" s="18">
        <f t="shared" si="36"/>
        <v>0.29475944590021647</v>
      </c>
      <c r="DZ113" s="18">
        <f t="shared" si="37"/>
        <v>-9.3191623981911331E-2</v>
      </c>
      <c r="EA113" s="18">
        <f t="shared" si="38"/>
        <v>6.3921350869611343E-2</v>
      </c>
      <c r="EB113" s="18">
        <f t="shared" si="39"/>
        <v>0.33196060666848459</v>
      </c>
      <c r="EC113" s="18">
        <f t="shared" si="40"/>
        <v>0.66332248628216151</v>
      </c>
      <c r="ED113" s="18">
        <f t="shared" si="41"/>
        <v>5.8735538142362244E-2</v>
      </c>
      <c r="EE113" s="18">
        <f t="shared" si="42"/>
        <v>5.6864700100579271E-2</v>
      </c>
      <c r="EF113" s="18">
        <f t="shared" si="43"/>
        <v>1.6242191799475086E-2</v>
      </c>
      <c r="EG113" s="18">
        <f t="shared" si="44"/>
        <v>0.11263555845294518</v>
      </c>
      <c r="EH113" s="18">
        <f t="shared" si="45"/>
        <v>1.3253800051463253E-2</v>
      </c>
      <c r="EI113" s="18">
        <f t="shared" si="46"/>
        <v>3.8263672467813044E-2</v>
      </c>
      <c r="EJ113" s="18">
        <f t="shared" si="47"/>
        <v>8.8798269570097302E-2</v>
      </c>
      <c r="EK113" s="18">
        <f t="shared" si="48"/>
        <v>-1.8007542171158422E-2</v>
      </c>
      <c r="EL113" s="18">
        <f t="shared" si="49"/>
        <v>-1.3946415465307406E-2</v>
      </c>
      <c r="EM113" s="6">
        <v>0.92835620416757436</v>
      </c>
      <c r="EN113" s="6">
        <v>0.9262639432130958</v>
      </c>
      <c r="EO113" s="6">
        <v>0.9266718262662984</v>
      </c>
      <c r="EP113" s="6">
        <v>0.93645156553977171</v>
      </c>
      <c r="EQ113" s="14">
        <v>250533.82777607901</v>
      </c>
      <c r="ER113" s="22">
        <v>54776.109017651819</v>
      </c>
      <c r="ES113" s="15">
        <v>332505</v>
      </c>
      <c r="ET113" s="15">
        <v>185091</v>
      </c>
      <c r="EU113" s="15">
        <v>7.25</v>
      </c>
      <c r="EV113" s="6">
        <v>142800</v>
      </c>
      <c r="EW113" s="6">
        <v>0.124</v>
      </c>
      <c r="EX113" s="16">
        <v>0.106</v>
      </c>
      <c r="EY113" s="16">
        <v>1.7999999999999999E-2</v>
      </c>
      <c r="EZ113" s="6">
        <v>2.9000000000000001E-2</v>
      </c>
      <c r="FA113" s="24">
        <f t="shared" si="50"/>
        <v>6553.9998732222448</v>
      </c>
      <c r="FB113" s="24">
        <f t="shared" si="50"/>
        <v>9552.7026634735666</v>
      </c>
      <c r="FC113" s="24">
        <f t="shared" si="50"/>
        <v>13107.99974644449</v>
      </c>
      <c r="GI113" s="21">
        <v>130400</v>
      </c>
      <c r="GJ113" s="6">
        <v>0.38381035439969657</v>
      </c>
      <c r="GK113" s="6">
        <v>0.84190315398430637</v>
      </c>
      <c r="GL113" s="21">
        <v>6513371.2133570826</v>
      </c>
      <c r="GM113" s="21">
        <v>4500000</v>
      </c>
    </row>
    <row r="114" spans="1:195" ht="15">
      <c r="A114" s="6">
        <v>2022</v>
      </c>
      <c r="B114" s="13">
        <v>0.90953844505956039</v>
      </c>
      <c r="C114" s="15">
        <f t="shared" si="27"/>
        <v>126978689.58021292</v>
      </c>
      <c r="D114" s="15">
        <v>21245393.871225763</v>
      </c>
      <c r="E114" s="15">
        <v>2343258.4256726759</v>
      </c>
      <c r="F114" s="15">
        <v>9082056.9287742358</v>
      </c>
      <c r="G114" s="15">
        <v>3946595.8545402209</v>
      </c>
      <c r="H114" s="15">
        <v>1309673.500000004</v>
      </c>
      <c r="I114" s="15">
        <v>8420348.5</v>
      </c>
      <c r="J114" s="15">
        <v>2254251.6514904555</v>
      </c>
      <c r="K114" s="15">
        <v>6166096.8485095426</v>
      </c>
      <c r="L114" s="15">
        <v>6842310.5</v>
      </c>
      <c r="M114" s="15">
        <v>7274663</v>
      </c>
      <c r="N114" s="15">
        <v>-12234291.5</v>
      </c>
      <c r="O114" s="15">
        <v>-3015605</v>
      </c>
      <c r="P114" s="15">
        <v>40571904.500000007</v>
      </c>
      <c r="Q114" s="15">
        <v>12965500</v>
      </c>
      <c r="R114" s="15">
        <v>27096165.500000004</v>
      </c>
      <c r="S114" s="15">
        <v>0.49381446722388112</v>
      </c>
      <c r="T114" s="15">
        <v>-5951312.5</v>
      </c>
      <c r="U114" s="15">
        <v>4066423.0000000005</v>
      </c>
      <c r="V114" s="15">
        <v>110556.95</v>
      </c>
      <c r="W114" s="15">
        <v>51419.937218716623</v>
      </c>
      <c r="X114" s="15">
        <v>47825.053880448497</v>
      </c>
      <c r="Y114" s="15">
        <v>121263.02945041739</v>
      </c>
      <c r="Z114" s="15">
        <v>121263.02945041739</v>
      </c>
      <c r="AA114" s="15">
        <v>22399535.000000004</v>
      </c>
      <c r="AB114" s="15">
        <v>600568</v>
      </c>
      <c r="AC114" s="15">
        <v>731793.86258259602</v>
      </c>
      <c r="AD114" s="15">
        <v>341782.82884752745</v>
      </c>
      <c r="AE114" s="15">
        <v>-37870.636674474496</v>
      </c>
      <c r="AF114" s="15">
        <v>314160.00000000006</v>
      </c>
      <c r="AG114" s="15">
        <v>349143.99999999994</v>
      </c>
      <c r="AH114" s="15">
        <v>7094531.0547556495</v>
      </c>
      <c r="AI114" s="15">
        <v>1579171</v>
      </c>
      <c r="AJ114" s="15">
        <v>1195968.8274275879</v>
      </c>
      <c r="AK114" s="15">
        <v>383202.1725724123</v>
      </c>
      <c r="AL114" s="15">
        <f t="shared" si="28"/>
        <v>2477641.6082211738</v>
      </c>
      <c r="AM114" s="15">
        <v>1420942.3088171117</v>
      </c>
      <c r="AN114" s="15">
        <v>1056699.2994040621</v>
      </c>
      <c r="AO114" s="15">
        <v>678472.83797316125</v>
      </c>
      <c r="AP114" s="15">
        <v>783226.3969861574</v>
      </c>
      <c r="AQ114" s="15">
        <v>576992.1700567574</v>
      </c>
      <c r="AR114" s="15">
        <f t="shared" si="25"/>
        <v>206234.2269294</v>
      </c>
      <c r="AS114" s="15">
        <v>1986260.0194021049</v>
      </c>
      <c r="AT114" s="15">
        <v>1323135.9465993315</v>
      </c>
      <c r="AU114" s="15">
        <f t="shared" si="29"/>
        <v>663124.07280277344</v>
      </c>
      <c r="AV114" s="15">
        <v>-379990</v>
      </c>
      <c r="AW114" s="15">
        <v>-334163.00000000006</v>
      </c>
      <c r="AX114" s="15">
        <v>15305003.945244353</v>
      </c>
      <c r="AY114" s="15">
        <v>13443377</v>
      </c>
      <c r="AZ114" s="15">
        <v>1138378.1374174044</v>
      </c>
      <c r="BA114" s="15">
        <v>382160.81365987338</v>
      </c>
      <c r="BB114" s="15">
        <f t="shared" si="26"/>
        <v>756217.32375753112</v>
      </c>
      <c r="BC114" s="15">
        <v>813373.1711524725</v>
      </c>
      <c r="BD114" s="15">
        <v>-90124.363325525512</v>
      </c>
      <c r="BE114" s="15">
        <f t="shared" si="30"/>
        <v>1155156</v>
      </c>
      <c r="BF114" s="15">
        <v>11122769</v>
      </c>
      <c r="BG114" s="15">
        <v>2320608</v>
      </c>
      <c r="BH114" s="15">
        <v>915290.95550743479</v>
      </c>
      <c r="BI114" s="15">
        <v>155426.04449256515</v>
      </c>
      <c r="BJ114" s="15">
        <v>327603</v>
      </c>
      <c r="BK114" s="15">
        <v>43663</v>
      </c>
      <c r="BL114" s="15">
        <v>53204.581258870116</v>
      </c>
      <c r="BM114" s="15">
        <v>9034.6982718352392</v>
      </c>
      <c r="BN114" s="15">
        <v>20208.72046929464</v>
      </c>
      <c r="BO114" s="15">
        <v>21108912.709855046</v>
      </c>
      <c r="BP114" s="15">
        <v>2454271.2975174738</v>
      </c>
      <c r="BQ114" s="15">
        <v>1691129.8672941523</v>
      </c>
      <c r="BR114" s="15">
        <v>2677469.8746666661</v>
      </c>
      <c r="BS114" s="15">
        <v>177308.99999999974</v>
      </c>
      <c r="BT114" s="15">
        <v>1256596</v>
      </c>
      <c r="BU114" s="15">
        <v>23796</v>
      </c>
      <c r="BV114" s="15">
        <v>58946</v>
      </c>
      <c r="BW114" s="15">
        <v>132923</v>
      </c>
      <c r="BX114" s="15">
        <v>20473.999999999924</v>
      </c>
      <c r="BY114" s="15">
        <v>168321</v>
      </c>
      <c r="BZ114" s="15">
        <v>665856.99999999988</v>
      </c>
      <c r="CA114" s="15">
        <v>21616</v>
      </c>
      <c r="CB114" s="15">
        <v>88610.999999999985</v>
      </c>
      <c r="CC114" s="15">
        <v>942430</v>
      </c>
      <c r="CD114" s="15">
        <v>814348</v>
      </c>
      <c r="CE114" s="15">
        <v>94.124719333333289</v>
      </c>
      <c r="CF114" s="15">
        <v>170545.00000000003</v>
      </c>
      <c r="CG114" s="15">
        <v>1927322.9999999998</v>
      </c>
      <c r="CH114" s="15">
        <v>3563488</v>
      </c>
      <c r="CI114" s="15">
        <v>1349867.0617032328</v>
      </c>
      <c r="CJ114" s="15">
        <v>103193.99999999972</v>
      </c>
      <c r="CK114" s="15">
        <v>605040</v>
      </c>
      <c r="CL114" s="15">
        <v>7407010</v>
      </c>
      <c r="CM114" s="15">
        <v>6324989</v>
      </c>
      <c r="CN114" s="15">
        <v>-326269.00000000006</v>
      </c>
      <c r="CO114" s="15">
        <v>-103772.72046929468</v>
      </c>
      <c r="CP114" s="15">
        <v>-296734.85667989805</v>
      </c>
      <c r="CQ114" s="15">
        <v>765640</v>
      </c>
      <c r="CR114" s="15">
        <v>1277652.0179867684</v>
      </c>
      <c r="CS114" s="15">
        <v>613896.00000000012</v>
      </c>
      <c r="CT114" s="15">
        <v>663756.01798676839</v>
      </c>
      <c r="CU114" s="15">
        <v>842000</v>
      </c>
      <c r="CV114" s="15">
        <v>819134.01001323143</v>
      </c>
      <c r="CW114" s="15">
        <v>2605339</v>
      </c>
      <c r="CX114" s="15">
        <v>637946</v>
      </c>
      <c r="CY114" s="15">
        <v>343287</v>
      </c>
      <c r="CZ114" s="15">
        <v>40861</v>
      </c>
      <c r="DA114" s="19">
        <v>0</v>
      </c>
      <c r="DB114" s="19">
        <v>0</v>
      </c>
      <c r="DC114" s="19">
        <v>0</v>
      </c>
      <c r="DD114" s="23">
        <v>0</v>
      </c>
      <c r="DE114" s="23">
        <v>0</v>
      </c>
      <c r="DF114" s="23">
        <f>DF113/(DF113+DG113)</f>
        <v>0.55001010396536387</v>
      </c>
      <c r="DG114" s="23">
        <f>DG113/(DG113+DF113)</f>
        <v>0.44998989603463618</v>
      </c>
      <c r="DH114" s="15">
        <v>527216.72046929458</v>
      </c>
      <c r="DI114" s="15">
        <v>21331505.98938575</v>
      </c>
      <c r="DJ114" s="15">
        <v>17768017.98938575</v>
      </c>
      <c r="DK114" s="15">
        <v>21897689.000000004</v>
      </c>
      <c r="DL114" s="18">
        <v>8.8286776232716233E-2</v>
      </c>
      <c r="DM114" s="15">
        <v>13511466.959992805</v>
      </c>
      <c r="DN114" s="15">
        <v>11164618.221709248</v>
      </c>
      <c r="DO114" s="15">
        <v>1656941.5412020441</v>
      </c>
      <c r="DP114" s="15">
        <v>134199.20957697567</v>
      </c>
      <c r="DQ114" s="15">
        <v>414180.7875478206</v>
      </c>
      <c r="DR114" s="15">
        <v>141527.19995671691</v>
      </c>
      <c r="DS114" s="15">
        <v>14752377.634992804</v>
      </c>
      <c r="DT114" s="18">
        <f t="shared" si="31"/>
        <v>0.22120014361530052</v>
      </c>
      <c r="DU114" s="18">
        <f t="shared" si="32"/>
        <v>0.13137310492127355</v>
      </c>
      <c r="DV114" s="18">
        <f t="shared" si="33"/>
        <v>3.2024452397827162E-2</v>
      </c>
      <c r="DW114" s="18">
        <f t="shared" si="34"/>
        <v>-4.6868592829827034E-2</v>
      </c>
      <c r="DX114" s="18">
        <f t="shared" si="35"/>
        <v>5.7290424275520405E-2</v>
      </c>
      <c r="DY114" s="18">
        <f t="shared" si="36"/>
        <v>0.31951742953191042</v>
      </c>
      <c r="DZ114" s="18">
        <f t="shared" si="37"/>
        <v>-9.6349171191214347E-2</v>
      </c>
      <c r="EA114" s="18">
        <f t="shared" si="38"/>
        <v>6.6313083934299341E-2</v>
      </c>
      <c r="EB114" s="18">
        <f t="shared" si="39"/>
        <v>0.31549912534490987</v>
      </c>
      <c r="EC114" s="18">
        <f t="shared" si="40"/>
        <v>0.6481620601435375</v>
      </c>
      <c r="ED114" s="18">
        <f t="shared" si="41"/>
        <v>5.4886024454333757E-2</v>
      </c>
      <c r="EE114" s="18">
        <f t="shared" si="42"/>
        <v>5.461621212300475E-2</v>
      </c>
      <c r="EF114" s="18">
        <f t="shared" si="43"/>
        <v>1.7499662753106604E-2</v>
      </c>
      <c r="EG114" s="18">
        <f t="shared" si="44"/>
        <v>0.11314625978207898</v>
      </c>
      <c r="EH114" s="18">
        <f t="shared" si="45"/>
        <v>8.0660035848148601E-3</v>
      </c>
      <c r="EI114" s="18">
        <f t="shared" si="46"/>
        <v>3.5767536792862355E-2</v>
      </c>
      <c r="EJ114" s="18">
        <f t="shared" si="47"/>
        <v>9.0706376339626735E-2</v>
      </c>
      <c r="EK114" s="18">
        <f t="shared" si="48"/>
        <v>-1.7352972726939357E-2</v>
      </c>
      <c r="EL114" s="18">
        <f t="shared" si="49"/>
        <v>-1.5260194808685063E-2</v>
      </c>
      <c r="EM114" s="6">
        <v>0.86660736222306956</v>
      </c>
      <c r="EN114" s="6">
        <v>0.86555268835399135</v>
      </c>
      <c r="EO114" s="6">
        <v>0.85800707756990247</v>
      </c>
      <c r="EP114" s="6">
        <v>0.8789577950043066</v>
      </c>
      <c r="EQ114" s="14">
        <v>252521.34522552934</v>
      </c>
      <c r="ER114" s="22">
        <v>56574.473089266459</v>
      </c>
      <c r="ES114" s="15">
        <v>334372</v>
      </c>
      <c r="ET114" s="15">
        <v>186309</v>
      </c>
      <c r="EU114" s="15">
        <v>7.25</v>
      </c>
      <c r="EV114" s="6">
        <v>147000</v>
      </c>
      <c r="EW114" s="6">
        <v>0.124</v>
      </c>
      <c r="EX114" s="16">
        <v>0.106</v>
      </c>
      <c r="EY114" s="16">
        <v>1.7999999999999999E-2</v>
      </c>
      <c r="EZ114" s="6">
        <v>2.9000000000000001E-2</v>
      </c>
      <c r="FA114" s="24">
        <f t="shared" si="50"/>
        <v>6606.0157452319445</v>
      </c>
      <c r="FB114" s="24">
        <f t="shared" si="50"/>
        <v>9604.061279943855</v>
      </c>
      <c r="FC114" s="24">
        <f t="shared" si="50"/>
        <v>13212.031490463889</v>
      </c>
      <c r="GI114" s="21">
        <v>131300</v>
      </c>
      <c r="GJ114" s="6">
        <v>0.38854790284178392</v>
      </c>
      <c r="GK114" s="6">
        <v>0.84134269640346471</v>
      </c>
      <c r="GL114" s="21">
        <v>5775711.5171240848</v>
      </c>
      <c r="GM114" s="21">
        <v>4000000</v>
      </c>
    </row>
    <row r="115" spans="1:195" ht="15">
      <c r="A115" s="12">
        <v>2023</v>
      </c>
      <c r="B115" s="13">
        <v>0.9071298786881965</v>
      </c>
      <c r="C115" s="15">
        <f t="shared" si="27"/>
        <v>128996145.0288544</v>
      </c>
      <c r="D115" s="15">
        <v>20176580.079975221</v>
      </c>
      <c r="E115" s="15">
        <v>2265969.6600463847</v>
      </c>
      <c r="F115" s="15">
        <v>9668917.6700247731</v>
      </c>
      <c r="G115" s="15">
        <v>4270077.6188080125</v>
      </c>
      <c r="H115" s="15">
        <v>1379788.0000000054</v>
      </c>
      <c r="I115" s="15">
        <v>8584877.4999999981</v>
      </c>
      <c r="J115" s="15">
        <v>2262020.3622069745</v>
      </c>
      <c r="K115" s="15">
        <v>6322857.1377930222</v>
      </c>
      <c r="L115" s="15">
        <v>6817028.5</v>
      </c>
      <c r="M115" s="15">
        <v>7181818.4999999991</v>
      </c>
      <c r="N115" s="15">
        <v>-12835575.5</v>
      </c>
      <c r="O115" s="15">
        <v>-3193982.5</v>
      </c>
      <c r="P115" s="15">
        <v>43376200.5</v>
      </c>
      <c r="Q115" s="15">
        <v>13175500</v>
      </c>
      <c r="R115" s="15">
        <v>26905123</v>
      </c>
      <c r="S115" s="15">
        <v>0.48224954622408039</v>
      </c>
      <c r="T115" s="15">
        <v>-6170920</v>
      </c>
      <c r="U115" s="15">
        <v>4200759.5</v>
      </c>
      <c r="V115" s="15">
        <v>116114.82830369289</v>
      </c>
      <c r="W115" s="15">
        <v>54294.394977494587</v>
      </c>
      <c r="X115" s="15">
        <v>50498.551839146719</v>
      </c>
      <c r="Y115" s="15">
        <v>128041.82916722834</v>
      </c>
      <c r="Z115" s="15">
        <v>128041.82916722834</v>
      </c>
      <c r="AA115" s="15">
        <v>23705765.484445401</v>
      </c>
      <c r="AB115" s="15">
        <v>613010</v>
      </c>
      <c r="AC115" s="15">
        <v>739529.00269703264</v>
      </c>
      <c r="AD115" s="15">
        <v>336872.38698968577</v>
      </c>
      <c r="AE115" s="15">
        <v>-30842.044140715061</v>
      </c>
      <c r="AF115" s="15">
        <v>330153</v>
      </c>
      <c r="AG115" s="15">
        <v>367093.99999999994</v>
      </c>
      <c r="AH115" s="15">
        <v>7637255.4370938828</v>
      </c>
      <c r="AI115" s="15">
        <v>1802903</v>
      </c>
      <c r="AJ115" s="15">
        <v>1363956.1259603614</v>
      </c>
      <c r="AK115" s="15">
        <v>438946.87403963867</v>
      </c>
      <c r="AL115" s="15">
        <f t="shared" si="28"/>
        <v>2582872.9667332661</v>
      </c>
      <c r="AM115" s="15">
        <v>1614218.4177862408</v>
      </c>
      <c r="AN115" s="15">
        <v>968654.54894702532</v>
      </c>
      <c r="AO115" s="15">
        <v>783594.18737593212</v>
      </c>
      <c r="AP115" s="15">
        <v>793464.21911326353</v>
      </c>
      <c r="AQ115" s="15">
        <v>588729.18343089451</v>
      </c>
      <c r="AR115" s="15">
        <f t="shared" si="25"/>
        <v>204735.03568236902</v>
      </c>
      <c r="AS115" s="15">
        <v>2292808.7210224499</v>
      </c>
      <c r="AT115" s="15">
        <v>1546397.1258654313</v>
      </c>
      <c r="AU115" s="15">
        <f t="shared" si="29"/>
        <v>746411.59515701863</v>
      </c>
      <c r="AV115" s="15">
        <v>-432844</v>
      </c>
      <c r="AW115" s="15">
        <v>-491574.00000000006</v>
      </c>
      <c r="AX115" s="15">
        <v>16068510.047351521</v>
      </c>
      <c r="AY115" s="15">
        <v>14207393.000000002</v>
      </c>
      <c r="AZ115" s="15">
        <v>1152551.3902004899</v>
      </c>
      <c r="BA115" s="15">
        <v>404574.36141364381</v>
      </c>
      <c r="BB115" s="15">
        <f t="shared" si="26"/>
        <v>747977.02878684609</v>
      </c>
      <c r="BC115" s="15">
        <v>779975.61301031441</v>
      </c>
      <c r="BD115" s="15">
        <v>-71409.955859284921</v>
      </c>
      <c r="BE115" s="15">
        <f t="shared" si="30"/>
        <v>1116848.0000000002</v>
      </c>
      <c r="BF115" s="15">
        <v>11732410</v>
      </c>
      <c r="BG115" s="15">
        <v>2474983</v>
      </c>
      <c r="BH115" s="15">
        <v>979255.15990205936</v>
      </c>
      <c r="BI115" s="15">
        <v>166287.84009794056</v>
      </c>
      <c r="BJ115" s="15">
        <v>346508.00000000006</v>
      </c>
      <c r="BK115" s="15">
        <v>43021</v>
      </c>
      <c r="BL115" s="15">
        <v>54535.033741319698</v>
      </c>
      <c r="BM115" s="15">
        <v>9260.6231162666045</v>
      </c>
      <c r="BN115" s="15">
        <v>20490.343142413709</v>
      </c>
      <c r="BO115" s="15">
        <v>22220264.629672352</v>
      </c>
      <c r="BP115" s="15">
        <v>2591232.3127202955</v>
      </c>
      <c r="BQ115" s="15">
        <v>1948363.9278113146</v>
      </c>
      <c r="BR115" s="15">
        <v>2857067.3857585578</v>
      </c>
      <c r="BS115" s="15">
        <v>197027.9999999998</v>
      </c>
      <c r="BT115" s="15">
        <v>1406283.9999999998</v>
      </c>
      <c r="BU115" s="15">
        <v>33305</v>
      </c>
      <c r="BV115" s="15">
        <v>62902</v>
      </c>
      <c r="BW115" s="15">
        <v>111150</v>
      </c>
      <c r="BX115" s="15">
        <v>21575.000000000033</v>
      </c>
      <c r="BY115" s="15">
        <v>196576</v>
      </c>
      <c r="BZ115" s="15">
        <v>482546.00000000012</v>
      </c>
      <c r="CA115" s="15">
        <v>23597</v>
      </c>
      <c r="CB115" s="15">
        <v>67416</v>
      </c>
      <c r="CC115" s="15">
        <v>1024835</v>
      </c>
      <c r="CD115" s="15">
        <v>878171</v>
      </c>
      <c r="CE115" s="15">
        <v>98.168425583333331</v>
      </c>
      <c r="CF115" s="15">
        <v>160906</v>
      </c>
      <c r="CG115" s="15">
        <v>2063912.0000000002</v>
      </c>
      <c r="CH115" s="15">
        <v>3765878</v>
      </c>
      <c r="CI115" s="15">
        <v>1417727.0818567383</v>
      </c>
      <c r="CJ115" s="15">
        <v>115694.51555459909</v>
      </c>
      <c r="CK115" s="15">
        <v>822524</v>
      </c>
      <c r="CL115" s="15">
        <v>7106383</v>
      </c>
      <c r="CM115" s="15">
        <v>6508912</v>
      </c>
      <c r="CN115" s="15">
        <v>-944271.99999999942</v>
      </c>
      <c r="CO115" s="15">
        <v>-187229.34314241365</v>
      </c>
      <c r="CP115" s="15">
        <v>-275633.72989584925</v>
      </c>
      <c r="CQ115" s="15">
        <v>814864</v>
      </c>
      <c r="CR115" s="15">
        <v>1338872.655862709</v>
      </c>
      <c r="CS115" s="15">
        <v>634476</v>
      </c>
      <c r="CT115" s="15">
        <v>704396.65586270904</v>
      </c>
      <c r="CU115" s="15">
        <v>923195</v>
      </c>
      <c r="CV115" s="15">
        <v>973096.1822291424</v>
      </c>
      <c r="CW115" s="15">
        <v>2278569</v>
      </c>
      <c r="CX115" s="15">
        <v>557174</v>
      </c>
      <c r="CY115" s="15">
        <v>195906</v>
      </c>
      <c r="CZ115" s="15">
        <v>42887</v>
      </c>
      <c r="DA115" s="19">
        <v>0</v>
      </c>
      <c r="DB115" s="19">
        <v>0</v>
      </c>
      <c r="DC115" s="19">
        <v>0</v>
      </c>
      <c r="DD115" s="23">
        <v>0</v>
      </c>
      <c r="DE115" s="23">
        <v>0</v>
      </c>
      <c r="DF115" s="23">
        <f t="shared" ref="DF115:DF117" si="51">DF114/(DF114+DG114)</f>
        <v>0.55001010396536387</v>
      </c>
      <c r="DG115" s="23">
        <f t="shared" ref="DG115:DG117" si="52">DG114/(DG114+DF114)</f>
        <v>0.44998989603463618</v>
      </c>
      <c r="DH115" s="15">
        <v>548288.34314241412</v>
      </c>
      <c r="DI115" s="15">
        <v>22977405.28652994</v>
      </c>
      <c r="DJ115" s="15">
        <v>19211527.286529936</v>
      </c>
      <c r="DK115" s="15">
        <v>22998935.999999996</v>
      </c>
      <c r="DL115" s="18">
        <v>0.1033216134936312</v>
      </c>
      <c r="DM115" s="15">
        <v>14196906.428914014</v>
      </c>
      <c r="DN115" s="15">
        <v>11686324.016954565</v>
      </c>
      <c r="DO115" s="15">
        <v>1549604.4556847557</v>
      </c>
      <c r="DP115" s="15">
        <v>322795.33888692257</v>
      </c>
      <c r="DQ115" s="15">
        <v>509139.94727208023</v>
      </c>
      <c r="DR115" s="15">
        <v>129042.67011568937</v>
      </c>
      <c r="DS115" s="15">
        <v>15170651.86285763</v>
      </c>
      <c r="DT115" s="18">
        <f t="shared" si="31"/>
        <v>0.20925903308147059</v>
      </c>
      <c r="DU115" s="18">
        <f t="shared" si="32"/>
        <v>0.13631998805038509</v>
      </c>
      <c r="DV115" s="18">
        <f t="shared" si="33"/>
        <v>3.2565000287879585E-2</v>
      </c>
      <c r="DW115" s="18">
        <f t="shared" si="34"/>
        <v>-4.7838018714587656E-2</v>
      </c>
      <c r="DX115" s="18">
        <f t="shared" si="35"/>
        <v>5.5674675381915791E-2</v>
      </c>
      <c r="DY115" s="18">
        <f t="shared" si="36"/>
        <v>0.33625966489384185</v>
      </c>
      <c r="DZ115" s="18">
        <f t="shared" si="37"/>
        <v>-9.9503558785643431E-2</v>
      </c>
      <c r="EA115" s="18">
        <f t="shared" si="38"/>
        <v>6.6551426773875266E-2</v>
      </c>
      <c r="EB115" s="18">
        <f t="shared" si="39"/>
        <v>0.31071178903086288</v>
      </c>
      <c r="EC115" s="18">
        <f t="shared" si="40"/>
        <v>0.64911012538735335</v>
      </c>
      <c r="ED115" s="18">
        <f t="shared" si="41"/>
        <v>5.2657991329472506E-2</v>
      </c>
      <c r="EE115" s="18">
        <f t="shared" si="42"/>
        <v>5.9305183768517018E-2</v>
      </c>
      <c r="EF115" s="18">
        <f t="shared" si="43"/>
        <v>1.9085529610571497E-2</v>
      </c>
      <c r="EG115" s="18">
        <f t="shared" si="44"/>
        <v>0.11230401992219408</v>
      </c>
      <c r="EH115" s="18">
        <f t="shared" si="45"/>
        <v>3.337750186814347E-3</v>
      </c>
      <c r="EI115" s="18">
        <f t="shared" si="46"/>
        <v>3.450004031113716E-2</v>
      </c>
      <c r="EJ115" s="18">
        <f t="shared" si="47"/>
        <v>9.9691947532809785E-2</v>
      </c>
      <c r="EK115" s="18">
        <f t="shared" si="48"/>
        <v>-1.8820174985486288E-2</v>
      </c>
      <c r="EL115" s="18">
        <f t="shared" si="49"/>
        <v>-2.1373771377945491E-2</v>
      </c>
      <c r="EM115" s="6">
        <v>0.83577772512235582</v>
      </c>
      <c r="EN115" s="6">
        <v>0.83335912871351658</v>
      </c>
      <c r="EO115" s="6">
        <v>0.82660190111994492</v>
      </c>
      <c r="EP115" s="6">
        <v>0.84678577059355575</v>
      </c>
      <c r="EQ115" s="14">
        <v>255198.11523664335</v>
      </c>
      <c r="ER115" s="22">
        <v>58769.810521002764</v>
      </c>
      <c r="ES115" s="15">
        <v>337141</v>
      </c>
      <c r="ET115" s="15">
        <v>187737</v>
      </c>
      <c r="EU115" s="15">
        <v>7.25</v>
      </c>
      <c r="EV115" s="6">
        <v>160200</v>
      </c>
      <c r="EW115" s="6">
        <v>0.124</v>
      </c>
      <c r="EX115" s="16">
        <v>0.106</v>
      </c>
      <c r="EY115" s="16">
        <v>1.7999999999999999E-2</v>
      </c>
      <c r="EZ115" s="6">
        <v>2.9000000000000001E-2</v>
      </c>
      <c r="FA115" s="24">
        <f t="shared" si="50"/>
        <v>6658.4444416226743</v>
      </c>
      <c r="FB115" s="24">
        <f t="shared" si="50"/>
        <v>9655.6960180080696</v>
      </c>
      <c r="FC115" s="24">
        <f t="shared" si="50"/>
        <v>13316.888883245349</v>
      </c>
      <c r="GI115" s="21">
        <v>132306.3732830942</v>
      </c>
      <c r="GJ115" s="6">
        <v>0.41969165155561899</v>
      </c>
      <c r="GK115" s="6">
        <v>0.8334667425502893</v>
      </c>
      <c r="GL115" s="21">
        <v>6513371.2133570826</v>
      </c>
      <c r="GM115" s="21">
        <v>4500000</v>
      </c>
    </row>
    <row r="116" spans="1:195" ht="15">
      <c r="A116" s="6">
        <v>2024</v>
      </c>
      <c r="B116" s="13">
        <v>0.90769377138527674</v>
      </c>
      <c r="C116" s="15">
        <f t="shared" si="27"/>
        <v>141765722.4168272</v>
      </c>
      <c r="D116" s="15">
        <v>24661826.848471168</v>
      </c>
      <c r="E116" s="15">
        <v>2404842.0524866055</v>
      </c>
      <c r="F116" s="15">
        <v>9253150.601528829</v>
      </c>
      <c r="G116" s="15">
        <v>4980655.4143406218</v>
      </c>
      <c r="H116" s="15">
        <v>1451593.9999999921</v>
      </c>
      <c r="I116" s="15">
        <v>8636695</v>
      </c>
      <c r="J116" s="15">
        <v>2261988.9310497628</v>
      </c>
      <c r="K116" s="15">
        <v>6374706.0689502358</v>
      </c>
      <c r="L116" s="15">
        <v>8070479</v>
      </c>
      <c r="M116" s="15">
        <v>6952913</v>
      </c>
      <c r="N116" s="15">
        <v>-13199113.5</v>
      </c>
      <c r="O116" s="15">
        <v>-3323979.0000000005</v>
      </c>
      <c r="P116" s="15">
        <v>45862555.5</v>
      </c>
      <c r="Q116" s="15">
        <v>15156000</v>
      </c>
      <c r="R116" s="15">
        <v>29531304.5</v>
      </c>
      <c r="S116" s="15">
        <v>0.49652203636227676</v>
      </c>
      <c r="T116" s="15">
        <v>-6214506.4999999991</v>
      </c>
      <c r="U116" s="15">
        <v>4217326.5</v>
      </c>
      <c r="V116" s="15">
        <v>122153.36909067382</v>
      </c>
      <c r="W116" s="15">
        <v>57117.969910736982</v>
      </c>
      <c r="X116" s="15">
        <v>53124.724304963114</v>
      </c>
      <c r="Y116" s="15">
        <v>134700.63251871523</v>
      </c>
      <c r="Z116" s="15">
        <v>134700.63251871523</v>
      </c>
      <c r="AA116" s="15">
        <v>25056925.131110098</v>
      </c>
      <c r="AB116" s="15">
        <v>680341</v>
      </c>
      <c r="AC116" s="15">
        <v>806427.87535832357</v>
      </c>
      <c r="AD116" s="15">
        <v>350714.46156705247</v>
      </c>
      <c r="AE116" s="15">
        <v>-28613.659646601456</v>
      </c>
      <c r="AF116" s="15">
        <v>356011</v>
      </c>
      <c r="AG116" s="15">
        <v>396137</v>
      </c>
      <c r="AH116" s="15">
        <v>8131774.4881427763</v>
      </c>
      <c r="AI116" s="15">
        <v>1974720.9999999998</v>
      </c>
      <c r="AJ116" s="15">
        <v>1491202.5893450382</v>
      </c>
      <c r="AK116" s="15">
        <v>483518.41065496183</v>
      </c>
      <c r="AL116" s="15">
        <f t="shared" si="28"/>
        <v>2789674.5627524382</v>
      </c>
      <c r="AM116" s="15">
        <v>1757967.3808595231</v>
      </c>
      <c r="AN116" s="15">
        <v>1031707.1818929153</v>
      </c>
      <c r="AO116" s="15">
        <v>815273.42463137</v>
      </c>
      <c r="AP116" s="15">
        <v>864701.12884078955</v>
      </c>
      <c r="AQ116" s="15">
        <v>673842.45603261795</v>
      </c>
      <c r="AR116" s="15">
        <f t="shared" si="25"/>
        <v>190858.6728081716</v>
      </c>
      <c r="AS116" s="15">
        <v>2403914.569997726</v>
      </c>
      <c r="AT116" s="15">
        <v>1581642.2413618213</v>
      </c>
      <c r="AU116" s="15">
        <f t="shared" si="29"/>
        <v>822272.32863590471</v>
      </c>
      <c r="AV116" s="15">
        <v>-487585.99999999988</v>
      </c>
      <c r="AW116" s="15">
        <v>-551025</v>
      </c>
      <c r="AX116" s="15">
        <v>16925150.642967328</v>
      </c>
      <c r="AY116" s="15">
        <v>15027059</v>
      </c>
      <c r="AZ116" s="15">
        <v>1159354.4448877801</v>
      </c>
      <c r="BA116" s="15">
        <v>471627.05924662173</v>
      </c>
      <c r="BB116" s="15">
        <f t="shared" si="26"/>
        <v>687727.38564115833</v>
      </c>
      <c r="BC116" s="15">
        <v>804362.53843294724</v>
      </c>
      <c r="BD116" s="15">
        <v>-65625.34035339854</v>
      </c>
      <c r="BE116" s="15">
        <f t="shared" si="30"/>
        <v>1155076.9999999998</v>
      </c>
      <c r="BF116" s="15">
        <v>12387929</v>
      </c>
      <c r="BG116" s="15">
        <v>2639129.9999999991</v>
      </c>
      <c r="BH116" s="15">
        <v>1048091.9482253903</v>
      </c>
      <c r="BI116" s="15">
        <v>177977.0517746098</v>
      </c>
      <c r="BJ116" s="15">
        <v>371760</v>
      </c>
      <c r="BK116" s="15">
        <v>44314</v>
      </c>
      <c r="BL116" s="15">
        <v>56148.729772837411</v>
      </c>
      <c r="BM116" s="15">
        <v>9534.6456985755231</v>
      </c>
      <c r="BN116" s="15">
        <v>21171.624528587075</v>
      </c>
      <c r="BO116" s="15">
        <v>23628924.034494512</v>
      </c>
      <c r="BP116" s="15">
        <v>2692052.3754714131</v>
      </c>
      <c r="BQ116" s="15">
        <v>2055720.350592827</v>
      </c>
      <c r="BR116" s="15">
        <v>3115182.6294486481</v>
      </c>
      <c r="BS116" s="15">
        <v>204588.99999999994</v>
      </c>
      <c r="BT116" s="15">
        <v>1499809</v>
      </c>
      <c r="BU116" s="15">
        <v>36468</v>
      </c>
      <c r="BV116" s="15">
        <v>65134</v>
      </c>
      <c r="BW116" s="15">
        <v>97391</v>
      </c>
      <c r="BX116" s="15">
        <v>22803.999999999996</v>
      </c>
      <c r="BY116" s="15">
        <v>229990</v>
      </c>
      <c r="BZ116" s="15">
        <v>509057.99999999988</v>
      </c>
      <c r="CA116" s="15">
        <v>24458</v>
      </c>
      <c r="CB116" s="15">
        <v>70462</v>
      </c>
      <c r="CC116" s="15">
        <v>1102358</v>
      </c>
      <c r="CD116" s="15">
        <v>938191</v>
      </c>
      <c r="CE116" s="15">
        <v>88.219025833333376</v>
      </c>
      <c r="CF116" s="15">
        <v>174243</v>
      </c>
      <c r="CG116" s="15">
        <v>2214792</v>
      </c>
      <c r="CH116" s="15">
        <v>3991840</v>
      </c>
      <c r="CI116" s="15">
        <v>1491455.8461641569</v>
      </c>
      <c r="CJ116" s="15">
        <v>113998.86888989294</v>
      </c>
      <c r="CK116" s="15">
        <v>976363.99999999988</v>
      </c>
      <c r="CL116" s="15">
        <v>7536420</v>
      </c>
      <c r="CM116" s="15">
        <v>6945680</v>
      </c>
      <c r="CN116" s="15">
        <v>-1039678.0000000001</v>
      </c>
      <c r="CO116" s="15">
        <v>-200210.62452858707</v>
      </c>
      <c r="CP116" s="15">
        <v>-427508.62944864819</v>
      </c>
      <c r="CQ116" s="15">
        <v>866444</v>
      </c>
      <c r="CR116" s="15">
        <v>1355986</v>
      </c>
      <c r="CS116" s="15">
        <v>663834</v>
      </c>
      <c r="CT116" s="15">
        <v>692152.00000000012</v>
      </c>
      <c r="CU116" s="15">
        <v>1002920</v>
      </c>
      <c r="CV116" s="15">
        <v>1116688.5050057138</v>
      </c>
      <c r="CW116" s="15">
        <v>2403242</v>
      </c>
      <c r="CX116" s="15">
        <v>585002</v>
      </c>
      <c r="CY116" s="15">
        <v>228809</v>
      </c>
      <c r="CZ116" s="15">
        <v>37461</v>
      </c>
      <c r="DA116" s="19">
        <v>0</v>
      </c>
      <c r="DB116" s="19">
        <v>0</v>
      </c>
      <c r="DC116" s="19">
        <v>0</v>
      </c>
      <c r="DD116" s="23">
        <v>0</v>
      </c>
      <c r="DE116" s="23">
        <v>0</v>
      </c>
      <c r="DF116" s="23">
        <f t="shared" si="51"/>
        <v>0.55001010396536387</v>
      </c>
      <c r="DG116" s="23">
        <f t="shared" si="52"/>
        <v>0.44998989603463618</v>
      </c>
      <c r="DH116" s="15">
        <v>587082.62452858686</v>
      </c>
      <c r="DI116" s="15">
        <v>24468489.409965929</v>
      </c>
      <c r="DJ116" s="15">
        <v>20476649.409965929</v>
      </c>
      <c r="DK116" s="15">
        <v>24194559.999999989</v>
      </c>
      <c r="DL116" s="18">
        <v>9.5890807160244659E-2</v>
      </c>
      <c r="DM116" s="15">
        <v>15063742.812370349</v>
      </c>
      <c r="DN116" s="15">
        <v>12321132.147829065</v>
      </c>
      <c r="DO116" s="15">
        <v>1596597.1430955052</v>
      </c>
      <c r="DP116" s="15">
        <v>430071.31064267486</v>
      </c>
      <c r="DQ116" s="15">
        <v>573590.18855544575</v>
      </c>
      <c r="DR116" s="15">
        <v>142352.02224765965</v>
      </c>
      <c r="DS116" s="15">
        <v>16478566.29880056</v>
      </c>
      <c r="DT116" s="18">
        <f t="shared" si="31"/>
        <v>0.23089012837835285</v>
      </c>
      <c r="DU116" s="18">
        <f t="shared" si="32"/>
        <v>0.12760660165202803</v>
      </c>
      <c r="DV116" s="18">
        <f t="shared" si="33"/>
        <v>2.9748562826774089E-2</v>
      </c>
      <c r="DW116" s="18">
        <f t="shared" si="34"/>
        <v>-4.3836453509740338E-2</v>
      </c>
      <c r="DX116" s="18">
        <f t="shared" si="35"/>
        <v>4.904509271681818E-2</v>
      </c>
      <c r="DY116" s="18">
        <f t="shared" si="36"/>
        <v>0.32350948253310802</v>
      </c>
      <c r="DZ116" s="18">
        <f t="shared" si="37"/>
        <v>-9.3105112258316275E-2</v>
      </c>
      <c r="EA116" s="18">
        <f t="shared" si="38"/>
        <v>6.0922307965291675E-2</v>
      </c>
      <c r="EB116" s="18">
        <f t="shared" si="39"/>
        <v>0.31521938969568386</v>
      </c>
      <c r="EC116" s="18">
        <f t="shared" si="40"/>
        <v>0.65195684250152441</v>
      </c>
      <c r="ED116" s="18">
        <f t="shared" si="41"/>
        <v>5.0299201143027703E-2</v>
      </c>
      <c r="EE116" s="18">
        <f t="shared" si="42"/>
        <v>6.1633796578447336E-2</v>
      </c>
      <c r="EF116" s="18">
        <f t="shared" si="43"/>
        <v>1.9984592017997519E-2</v>
      </c>
      <c r="EG116" s="18">
        <f t="shared" si="44"/>
        <v>0.11530172744420397</v>
      </c>
      <c r="EH116" s="18">
        <f t="shared" si="45"/>
        <v>-1.946375816660314E-3</v>
      </c>
      <c r="EI116" s="18">
        <f t="shared" si="46"/>
        <v>3.5739485605061218E-2</v>
      </c>
      <c r="EJ116" s="18">
        <f t="shared" si="47"/>
        <v>9.9357647752128048E-2</v>
      </c>
      <c r="EK116" s="18">
        <f t="shared" si="48"/>
        <v>-2.0152712014601636E-2</v>
      </c>
      <c r="EL116" s="18">
        <f t="shared" si="49"/>
        <v>-2.277474771188235E-2</v>
      </c>
      <c r="EM116" s="6">
        <v>0.81551462967392174</v>
      </c>
      <c r="EN116" s="6">
        <v>0.81210408496991437</v>
      </c>
      <c r="EO116" s="6">
        <v>0.80551341278820099</v>
      </c>
      <c r="EP116" s="6">
        <v>0.82518234599647433</v>
      </c>
      <c r="EQ116" s="14">
        <v>258113.62715113594</v>
      </c>
      <c r="ER116" s="22">
        <v>60995.691633623632</v>
      </c>
      <c r="ES116" s="15">
        <v>340212</v>
      </c>
      <c r="ET116" s="15">
        <v>189882</v>
      </c>
      <c r="EU116" s="15">
        <v>7.25</v>
      </c>
      <c r="EV116" s="6">
        <v>168600</v>
      </c>
      <c r="EW116" s="6">
        <v>0.124</v>
      </c>
      <c r="EX116" s="16">
        <v>0.106</v>
      </c>
      <c r="EY116" s="16">
        <v>1.7999999999999999E-2</v>
      </c>
      <c r="EZ116" s="6">
        <v>2.9000000000000001E-2</v>
      </c>
      <c r="FA116" s="24">
        <f t="shared" si="50"/>
        <v>6711.2892387784095</v>
      </c>
      <c r="FB116" s="24">
        <f t="shared" si="50"/>
        <v>9707.6083621909074</v>
      </c>
      <c r="FC116" s="24">
        <f t="shared" si="50"/>
        <v>13422.578477556819</v>
      </c>
      <c r="GI116" s="21">
        <v>133818.04743732186</v>
      </c>
      <c r="GJ116" s="6">
        <v>0.40438590201357916</v>
      </c>
      <c r="GK116" s="6">
        <v>0.83228267013328383</v>
      </c>
      <c r="GL116" s="21">
        <v>7945994.6769396225</v>
      </c>
      <c r="GM116" s="21">
        <v>5400000</v>
      </c>
    </row>
    <row r="117" spans="1:195" ht="15">
      <c r="A117" s="12">
        <v>2025</v>
      </c>
      <c r="B117" s="13">
        <v>0.90769377138527674</v>
      </c>
      <c r="C117" s="15">
        <f t="shared" si="27"/>
        <v>153778137.07538795</v>
      </c>
      <c r="D117" s="15">
        <v>28199689.797043622</v>
      </c>
      <c r="E117" s="15">
        <v>2548113.1592525491</v>
      </c>
      <c r="F117" s="15">
        <v>9271578.7637592126</v>
      </c>
      <c r="G117" s="15">
        <v>5473304.5495474823</v>
      </c>
      <c r="H117" s="15">
        <v>1546507.2432113173</v>
      </c>
      <c r="I117" s="15">
        <v>9028052.5590318777</v>
      </c>
      <c r="J117" s="15">
        <v>2352453.0021706568</v>
      </c>
      <c r="K117" s="15">
        <v>6675599.5568612227</v>
      </c>
      <c r="L117" s="15">
        <v>9076205.2420306969</v>
      </c>
      <c r="M117" s="15">
        <v>7187746.5053128693</v>
      </c>
      <c r="N117" s="15">
        <v>-13863017.470484061</v>
      </c>
      <c r="O117" s="15">
        <v>-3517232.3819362461</v>
      </c>
      <c r="P117" s="15">
        <v>48618433.476977564</v>
      </c>
      <c r="Q117" s="15">
        <v>16703580.28335301</v>
      </c>
      <c r="R117" s="15">
        <v>31925721.968713108</v>
      </c>
      <c r="S117" s="15">
        <v>0.50288135091718056</v>
      </c>
      <c r="T117" s="15">
        <v>-6410983.9197166478</v>
      </c>
      <c r="U117" s="15">
        <v>4473204.9173553726</v>
      </c>
      <c r="V117" s="15">
        <v>127703.2852619395</v>
      </c>
      <c r="W117" s="15">
        <v>59713.067755661388</v>
      </c>
      <c r="X117" s="15">
        <v>55538.393029034814</v>
      </c>
      <c r="Y117" s="15">
        <v>140820.62105657053</v>
      </c>
      <c r="Z117" s="15">
        <v>140820.62105657053</v>
      </c>
      <c r="AA117" s="15">
        <v>26195361.467516962</v>
      </c>
      <c r="AB117" s="15">
        <v>711251.61299399997</v>
      </c>
      <c r="AC117" s="15">
        <v>842347.10163348343</v>
      </c>
      <c r="AD117" s="15">
        <v>366613.04207512294</v>
      </c>
      <c r="AE117" s="15">
        <v>-29910.77345676308</v>
      </c>
      <c r="AF117" s="15">
        <v>372186.00377400004</v>
      </c>
      <c r="AG117" s="15">
        <v>414135.08845799993</v>
      </c>
      <c r="AH117" s="15">
        <v>8500480.6512866393</v>
      </c>
      <c r="AI117" s="15">
        <v>2064440.473914</v>
      </c>
      <c r="AJ117" s="15">
        <v>1558953.8877893405</v>
      </c>
      <c r="AK117" s="15">
        <v>505486.58612465975</v>
      </c>
      <c r="AL117" s="15">
        <f t="shared" si="28"/>
        <v>2948395.2807308189</v>
      </c>
      <c r="AM117" s="15">
        <v>1869843.2301381247</v>
      </c>
      <c r="AN117" s="15">
        <v>1078552.0505926942</v>
      </c>
      <c r="AO117" s="15">
        <v>840438.33775144699</v>
      </c>
      <c r="AP117" s="15">
        <v>903267.94211467181</v>
      </c>
      <c r="AQ117" s="15">
        <v>703332.15252733359</v>
      </c>
      <c r="AR117" s="15">
        <f t="shared" ref="AR117" si="53">AP117-AQ117</f>
        <v>199935.78958733822</v>
      </c>
      <c r="AS117" s="15">
        <v>2493035.6003313428</v>
      </c>
      <c r="AT117" s="15">
        <v>1621527.9310615691</v>
      </c>
      <c r="AU117" s="15">
        <f t="shared" si="29"/>
        <v>871507.66926977364</v>
      </c>
      <c r="AV117" s="15">
        <v>-509738.98232399992</v>
      </c>
      <c r="AW117" s="15">
        <v>-576060.26985000016</v>
      </c>
      <c r="AX117" s="15">
        <v>17694880.816230319</v>
      </c>
      <c r="AY117" s="15">
        <v>15709798.398606</v>
      </c>
      <c r="AZ117" s="15">
        <v>1212748.5725506812</v>
      </c>
      <c r="BA117" s="15">
        <v>492152.40551510261</v>
      </c>
      <c r="BB117" s="15">
        <f t="shared" ref="BB117" si="54">AZ117-BA117</f>
        <v>720596.16703557852</v>
      </c>
      <c r="BC117" s="15">
        <v>840943.72634287691</v>
      </c>
      <c r="BD117" s="15">
        <v>-68609.881269236925</v>
      </c>
      <c r="BE117" s="15">
        <f t="shared" si="30"/>
        <v>1207556.7684179998</v>
      </c>
      <c r="BF117" s="15">
        <v>12950762.166185999</v>
      </c>
      <c r="BG117" s="15">
        <v>2759036.2324199998</v>
      </c>
      <c r="BH117" s="15">
        <v>1095710.9578010624</v>
      </c>
      <c r="BI117" s="15">
        <v>186063.26114493742</v>
      </c>
      <c r="BJ117" s="15">
        <v>388650.54383999994</v>
      </c>
      <c r="BK117" s="15">
        <v>46327.362276</v>
      </c>
      <c r="BL117" s="15">
        <v>58699.791161336485</v>
      </c>
      <c r="BM117" s="15">
        <v>9967.8427912446059</v>
      </c>
      <c r="BN117" s="15">
        <v>22133.536117418895</v>
      </c>
      <c r="BO117" s="15">
        <v>24714385.370928537</v>
      </c>
      <c r="BP117" s="15">
        <v>2814363.0830985811</v>
      </c>
      <c r="BQ117" s="15">
        <v>2137215.147150862</v>
      </c>
      <c r="BR117" s="15">
        <v>3256717.837035018</v>
      </c>
      <c r="BS117" s="15">
        <v>213884.29662599991</v>
      </c>
      <c r="BT117" s="15">
        <v>1567951.3221059998</v>
      </c>
      <c r="BU117" s="15">
        <v>38124.887112000004</v>
      </c>
      <c r="BV117" s="15">
        <v>68093.29815599999</v>
      </c>
      <c r="BW117" s="15">
        <v>101815.86269400001</v>
      </c>
      <c r="BX117" s="15">
        <v>23840.07693599999</v>
      </c>
      <c r="BY117" s="15">
        <v>240439.36565999998</v>
      </c>
      <c r="BZ117" s="15">
        <v>532186.54117199988</v>
      </c>
      <c r="CA117" s="15">
        <v>25569.224771999998</v>
      </c>
      <c r="CB117" s="15">
        <v>73663.370507999993</v>
      </c>
      <c r="CC117" s="15">
        <v>1152442.5333719999</v>
      </c>
      <c r="CD117" s="15">
        <v>980816.76989400003</v>
      </c>
      <c r="CE117" s="15">
        <v>88.219025833333376</v>
      </c>
      <c r="CF117" s="15">
        <v>182159.55646200001</v>
      </c>
      <c r="CG117" s="15">
        <v>2315418.8597280001</v>
      </c>
      <c r="CH117" s="15">
        <v>4173205.2585600005</v>
      </c>
      <c r="CI117" s="15">
        <v>1559218.651078779</v>
      </c>
      <c r="CJ117" s="15">
        <v>119178.29349903653</v>
      </c>
      <c r="CK117" s="15">
        <v>1020724.121976</v>
      </c>
      <c r="CL117" s="15">
        <v>7878829.7062799996</v>
      </c>
      <c r="CM117" s="15">
        <v>7261250.0251200004</v>
      </c>
      <c r="CN117" s="15">
        <v>-1086914.7302520005</v>
      </c>
      <c r="CO117" s="15">
        <v>-209306.99404341896</v>
      </c>
      <c r="CP117" s="15">
        <v>-446932.05651901802</v>
      </c>
      <c r="CQ117" s="15">
        <v>905810.01669599989</v>
      </c>
      <c r="CR117" s="15">
        <v>1417593.8679240001</v>
      </c>
      <c r="CS117" s="15">
        <v>693994.63395599998</v>
      </c>
      <c r="CT117" s="15">
        <v>723599.23396800004</v>
      </c>
      <c r="CU117" s="15">
        <v>1048486.6672799999</v>
      </c>
      <c r="CV117" s="15">
        <v>1167424.1305421442</v>
      </c>
      <c r="CW117" s="15">
        <v>2512430.8970280006</v>
      </c>
      <c r="CX117" s="15">
        <v>611580.98086799996</v>
      </c>
      <c r="CY117" s="15">
        <v>239204.70810600001</v>
      </c>
      <c r="CZ117" s="15">
        <v>39163.003073999993</v>
      </c>
      <c r="DA117" s="19">
        <v>0</v>
      </c>
      <c r="DB117" s="19">
        <v>0</v>
      </c>
      <c r="DC117" s="19">
        <v>0</v>
      </c>
      <c r="DD117" s="23">
        <v>0</v>
      </c>
      <c r="DE117" s="23">
        <v>0</v>
      </c>
      <c r="DF117" s="23">
        <f t="shared" si="51"/>
        <v>0.55001010396536387</v>
      </c>
      <c r="DG117" s="23">
        <f t="shared" si="52"/>
        <v>0.44998989603463618</v>
      </c>
      <c r="DH117" s="15">
        <v>613756.13649141893</v>
      </c>
      <c r="DI117" s="15">
        <v>25592095.559669115</v>
      </c>
      <c r="DJ117" s="15">
        <v>21418890.301109117</v>
      </c>
      <c r="DK117" s="15">
        <v>25293815.639040001</v>
      </c>
      <c r="DL117" s="18">
        <v>9.5942094340878872E-2</v>
      </c>
      <c r="DM117" s="15">
        <v>15748148.903307579</v>
      </c>
      <c r="DN117" s="15">
        <v>12881412.63908878</v>
      </c>
      <c r="DO117" s="15">
        <v>1668856.242935068</v>
      </c>
      <c r="DP117" s="15">
        <v>449535.56053705257</v>
      </c>
      <c r="DQ117" s="15">
        <v>599549.84336320951</v>
      </c>
      <c r="DR117" s="15">
        <v>148794.61738347093</v>
      </c>
      <c r="DS117" s="15">
        <v>17227253.480020262</v>
      </c>
      <c r="DT117" s="18">
        <f t="shared" si="31"/>
        <v>0.24240048519250978</v>
      </c>
      <c r="DU117" s="18">
        <f t="shared" si="32"/>
        <v>0.12251093734172831</v>
      </c>
      <c r="DV117" s="18">
        <f t="shared" si="33"/>
        <v>2.9088692335780056E-2</v>
      </c>
      <c r="DW117" s="18">
        <f t="shared" si="34"/>
        <v>-4.168982692626675E-2</v>
      </c>
      <c r="DX117" s="18">
        <f t="shared" si="35"/>
        <v>4.6741016909244773E-2</v>
      </c>
      <c r="DY117" s="18">
        <f t="shared" si="36"/>
        <v>0.31615959460572046</v>
      </c>
      <c r="DZ117" s="18">
        <f t="shared" si="37"/>
        <v>-9.0149469450835379E-2</v>
      </c>
      <c r="EA117" s="18">
        <f t="shared" si="38"/>
        <v>5.8708297100815959E-2</v>
      </c>
      <c r="EB117" s="18">
        <f t="shared" si="39"/>
        <v>0.3162302728913029</v>
      </c>
      <c r="EC117" s="18">
        <f t="shared" si="40"/>
        <v>0.65195684250152408</v>
      </c>
      <c r="ED117" s="18">
        <f t="shared" si="41"/>
        <v>5.032908189188038E-2</v>
      </c>
      <c r="EE117" s="18">
        <f t="shared" si="42"/>
        <v>6.1633796578447302E-2</v>
      </c>
      <c r="EF117" s="18">
        <f t="shared" si="43"/>
        <v>1.9984592017997526E-2</v>
      </c>
      <c r="EG117" s="18">
        <f t="shared" si="44"/>
        <v>0.11656585636609479</v>
      </c>
      <c r="EH117" s="18">
        <f t="shared" si="45"/>
        <v>-2.415906385875586E-3</v>
      </c>
      <c r="EI117" s="18">
        <f t="shared" si="46"/>
        <v>3.5711019444631106E-2</v>
      </c>
      <c r="EJ117" s="18">
        <f t="shared" si="47"/>
        <v>9.8563049399452457E-2</v>
      </c>
      <c r="EK117" s="18">
        <f t="shared" si="48"/>
        <v>-2.0152712014601625E-2</v>
      </c>
      <c r="EL117" s="18">
        <f t="shared" si="49"/>
        <v>-2.2774747711882346E-2</v>
      </c>
      <c r="EM117" s="6">
        <v>0.79099382121621897</v>
      </c>
      <c r="EN117" s="6">
        <v>0.78768582441310819</v>
      </c>
      <c r="EO117" s="6">
        <v>0.78129331987216399</v>
      </c>
      <c r="EP117" s="6">
        <v>0.80037084965710426</v>
      </c>
      <c r="EQ117" s="14">
        <v>261061.07902275521</v>
      </c>
      <c r="ER117" s="24">
        <f>ER116*ER116/ER115</f>
        <v>63305.877029065894</v>
      </c>
      <c r="ES117" s="15">
        <v>343310.97358078667</v>
      </c>
      <c r="ET117" s="15">
        <v>191981</v>
      </c>
      <c r="EU117" s="15">
        <v>7.25</v>
      </c>
      <c r="EV117" s="6">
        <v>176100</v>
      </c>
      <c r="EW117" s="6">
        <v>0.124</v>
      </c>
      <c r="EX117" s="16">
        <v>0.106</v>
      </c>
      <c r="EY117" s="16">
        <v>1.7999999999999999E-2</v>
      </c>
      <c r="EZ117" s="6">
        <v>2.9000000000000001E-2</v>
      </c>
      <c r="FA117" s="24">
        <f t="shared" si="50"/>
        <v>6764.5534390861749</v>
      </c>
      <c r="FB117" s="24">
        <f t="shared" si="50"/>
        <v>9759.7998049983835</v>
      </c>
      <c r="FC117" s="24">
        <f t="shared" si="50"/>
        <v>13529.10687817235</v>
      </c>
      <c r="GI117" s="21">
        <v>135297.30340455909</v>
      </c>
      <c r="GJ117" s="6">
        <v>0.40438246024550972</v>
      </c>
      <c r="GK117" s="6">
        <v>0.83230560051888081</v>
      </c>
      <c r="GL117" s="21">
        <v>9840620.6878638733</v>
      </c>
      <c r="GM117" s="21">
        <v>6600000</v>
      </c>
    </row>
    <row r="118" spans="1:195">
      <c r="BQ118" s="26"/>
      <c r="DK118" s="26"/>
      <c r="GI118" s="21"/>
    </row>
    <row r="119" spans="1:195">
      <c r="BQ119" s="26"/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ParametersStata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Zucman</dc:creator>
  <cp:lastModifiedBy>Léonard Mouillet</cp:lastModifiedBy>
  <dcterms:created xsi:type="dcterms:W3CDTF">2026-02-15T19:35:12Z</dcterms:created>
  <dcterms:modified xsi:type="dcterms:W3CDTF">2026-02-24T13:04:42Z</dcterms:modified>
</cp:coreProperties>
</file>